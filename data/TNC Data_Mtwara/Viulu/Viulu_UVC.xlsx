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vi\OneDrive\Desktop\TNC Restoration\mtwara\Data\"/>
    </mc:Choice>
  </mc:AlternateContent>
  <xr:revisionPtr revIDLastSave="0" documentId="13_ncr:1_{E296E99D-7FBA-4C14-AE2A-31F49A2EB88F}" xr6:coauthVersionLast="47" xr6:coauthVersionMax="47" xr10:uidLastSave="{00000000-0000-0000-0000-000000000000}"/>
  <bookViews>
    <workbookView xWindow="-110" yWindow="-110" windowWidth="19420" windowHeight="10300" xr2:uid="{5E13DBEE-AF34-49BC-BDE8-1475846778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2" i="1" l="1"/>
  <c r="I142" i="1"/>
  <c r="H142" i="1"/>
  <c r="G142" i="1"/>
  <c r="F142" i="1"/>
  <c r="E142" i="1"/>
  <c r="D142" i="1"/>
  <c r="C142" i="1"/>
  <c r="B142" i="1"/>
  <c r="K142" i="1" s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J106" i="1"/>
  <c r="I106" i="1"/>
  <c r="H106" i="1"/>
  <c r="G106" i="1"/>
  <c r="F106" i="1"/>
  <c r="E106" i="1"/>
  <c r="D106" i="1"/>
  <c r="C106" i="1"/>
  <c r="B106" i="1"/>
  <c r="K106" i="1" s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J70" i="1"/>
  <c r="I70" i="1"/>
  <c r="H70" i="1"/>
  <c r="G70" i="1"/>
  <c r="F70" i="1"/>
  <c r="E70" i="1"/>
  <c r="D70" i="1"/>
  <c r="C70" i="1"/>
  <c r="B70" i="1"/>
  <c r="K70" i="1" s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J34" i="1" l="1"/>
  <c r="I34" i="1"/>
  <c r="H34" i="1"/>
  <c r="G34" i="1"/>
  <c r="F34" i="1"/>
  <c r="E34" i="1"/>
  <c r="D34" i="1"/>
  <c r="C34" i="1"/>
  <c r="B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34" i="1" l="1"/>
</calcChain>
</file>

<file path=xl/sharedStrings.xml><?xml version="1.0" encoding="utf-8"?>
<sst xmlns="http://schemas.openxmlformats.org/spreadsheetml/2006/main" count="232" uniqueCount="59">
  <si>
    <t xml:space="preserve"> </t>
  </si>
  <si>
    <t>Location=</t>
  </si>
  <si>
    <t xml:space="preserve">Assistants= </t>
  </si>
  <si>
    <t>Depth</t>
  </si>
  <si>
    <t xml:space="preserve">Date (dd/mm/year)= </t>
  </si>
  <si>
    <t xml:space="preserve">Tide &amp; Time= </t>
  </si>
  <si>
    <t>Longitude</t>
  </si>
  <si>
    <t>Management=</t>
  </si>
  <si>
    <t>Exposure</t>
  </si>
  <si>
    <t>Latitude</t>
  </si>
  <si>
    <t>Transect Size= 100 x 5 m</t>
  </si>
  <si>
    <t>Family Group</t>
  </si>
  <si>
    <t>3-10cm</t>
  </si>
  <si>
    <t>10-20 cm</t>
  </si>
  <si>
    <t>20-30cm</t>
  </si>
  <si>
    <t>30-40</t>
  </si>
  <si>
    <t>40-50</t>
  </si>
  <si>
    <t>50-60</t>
  </si>
  <si>
    <t>60-70</t>
  </si>
  <si>
    <t>70-80</t>
  </si>
  <si>
    <t>&gt;80</t>
  </si>
  <si>
    <t>Total</t>
  </si>
  <si>
    <t>Acanthuridae</t>
  </si>
  <si>
    <t>Aulostomidae</t>
  </si>
  <si>
    <t>Balistidae</t>
  </si>
  <si>
    <t>Carangidae</t>
  </si>
  <si>
    <t>Chaetodontidae</t>
  </si>
  <si>
    <t>Diodontidae</t>
  </si>
  <si>
    <t>Fistularidae</t>
  </si>
  <si>
    <t>Haemulidae</t>
  </si>
  <si>
    <t>Holocentridae</t>
  </si>
  <si>
    <t>Labridae</t>
  </si>
  <si>
    <t>Lethrinidae</t>
  </si>
  <si>
    <t>Lutjanidae/Nemipteridae</t>
  </si>
  <si>
    <t>Mullidae</t>
  </si>
  <si>
    <t>Muraenidae</t>
  </si>
  <si>
    <t>Pempheridae</t>
  </si>
  <si>
    <t>Penguipedidae/Synodontidae</t>
  </si>
  <si>
    <t>Pomacanthidae</t>
  </si>
  <si>
    <t>Pomacentridae</t>
  </si>
  <si>
    <t>Scaridae</t>
  </si>
  <si>
    <t>Scorpaenidae</t>
  </si>
  <si>
    <t>Serranidae</t>
  </si>
  <si>
    <t>Siganidae</t>
  </si>
  <si>
    <t>Sphyraenidae</t>
  </si>
  <si>
    <t>Caesionidae</t>
  </si>
  <si>
    <t>Carcharhinidae</t>
  </si>
  <si>
    <t>Ginglymostomatidae</t>
  </si>
  <si>
    <t>Rhincodontidae</t>
  </si>
  <si>
    <t>Others</t>
  </si>
  <si>
    <t>density/225m2</t>
  </si>
  <si>
    <t>Viulu t1</t>
  </si>
  <si>
    <t>Pagu</t>
  </si>
  <si>
    <t>22/3/2026</t>
  </si>
  <si>
    <t>open access</t>
  </si>
  <si>
    <t>exposed</t>
  </si>
  <si>
    <t>Viulu t2</t>
  </si>
  <si>
    <t>Viulu t3</t>
  </si>
  <si>
    <t>Viulu 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</si>
</sst>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1"/>
      <color theme="1"/>
      <name val="Aptos Narrow"/>
      <family val="2"/>
      <scheme val="minor"/>
    </font>
    <font>
      <sz val="10"/>
      <name val="Verdana"/>
      <family val="2"/>
    </font>
    <font>
      <b/>
      <sz val="10"/>
      <color indexed="10"/>
      <name val="Geneva"/>
      <family val="2"/>
    </font>
    <font>
      <sz val="10"/>
      <color indexed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 applyAlignment="1">
      <alignment vertical="top"/>
    </xf>
    <xf numFmtId="2" fontId="0" fillId="0" borderId="0" xfId="0" applyNumberFormat="1" applyAlignment="1" applyProtection="1">
      <alignment vertical="top"/>
      <protection locked="0"/>
    </xf>
    <xf numFmtId="2" fontId="1" fillId="0" borderId="0" xfId="0" applyNumberFormat="1" applyFont="1" applyAlignment="1">
      <alignment vertical="top"/>
    </xf>
    <xf numFmtId="2" fontId="1" fillId="0" borderId="0" xfId="0" applyNumberFormat="1" applyFont="1" applyAlignment="1" applyProtection="1">
      <alignment vertical="top"/>
      <protection locked="0"/>
    </xf>
    <xf numFmtId="2" fontId="2" fillId="0" borderId="0" xfId="0" applyNumberFormat="1" applyFont="1" applyAlignment="1">
      <alignment vertical="top"/>
    </xf>
    <xf numFmtId="2" fontId="3" fillId="0" borderId="0" xfId="0" applyNumberFormat="1" applyFont="1" applyAlignment="1">
      <alignment vertical="top"/>
    </xf>
    <xf numFmtId="1" fontId="0" fillId="0" borderId="0" xfId="0" applyNumberFormat="1" applyAlignment="1" applyProtection="1">
      <alignment vertical="top"/>
      <protection locked="0"/>
    </xf>
    <xf numFmtId="2" fontId="3" fillId="0" borderId="0" xfId="0" applyNumberFormat="1" applyFont="1" applyAlignment="1" applyProtection="1">
      <alignment vertical="top"/>
      <protection locked="0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9CF4E-DB69-419D-B3C5-8ED199AE205F}">
  <dimension ref="A1:K142"/>
  <sheetViews>
    <sheetView tabSelected="1" workbookViewId="0">
      <selection activeCell="B114" sqref="B114:J141"/>
    </sheetView>
  </sheetViews>
  <sheetFormatPr defaultRowHeight="14.5"/>
  <cols>
    <col min="1" max="1" width="28" bestFit="1" customWidth="1"/>
    <col min="2" max="2" width="20.54296875" bestFit="1" customWidth="1"/>
    <col min="3" max="3" width="21.54296875" bestFit="1" customWidth="1"/>
    <col min="4" max="4" width="8" bestFit="1" customWidth="1"/>
    <col min="5" max="5" width="11.36328125" bestFit="1" customWidth="1"/>
  </cols>
  <sheetData>
    <row r="1" spans="1:11">
      <c r="A1" s="1" t="s">
        <v>0</v>
      </c>
      <c r="B1" s="2" t="s">
        <v>1</v>
      </c>
      <c r="C1" s="1" t="s">
        <v>51</v>
      </c>
      <c r="D1" s="2"/>
      <c r="E1" s="2" t="s">
        <v>2</v>
      </c>
      <c r="F1" s="2" t="s">
        <v>52</v>
      </c>
      <c r="G1" s="2"/>
      <c r="H1" s="2" t="s">
        <v>3</v>
      </c>
      <c r="I1" s="2">
        <v>5</v>
      </c>
      <c r="J1" s="2"/>
      <c r="K1" s="5"/>
    </row>
    <row r="2" spans="1:11">
      <c r="A2" s="1"/>
      <c r="B2" s="2" t="s">
        <v>4</v>
      </c>
      <c r="C2" s="9" t="s">
        <v>53</v>
      </c>
      <c r="D2" s="2"/>
      <c r="E2" s="2" t="s">
        <v>5</v>
      </c>
      <c r="F2" s="2"/>
      <c r="G2" s="2"/>
      <c r="H2" s="2" t="s">
        <v>6</v>
      </c>
      <c r="I2" s="1"/>
      <c r="J2" s="2"/>
      <c r="K2" s="6" t="s">
        <v>0</v>
      </c>
    </row>
    <row r="3" spans="1:11">
      <c r="A3" s="1"/>
      <c r="B3" s="2" t="s">
        <v>7</v>
      </c>
      <c r="C3" s="1" t="s">
        <v>54</v>
      </c>
      <c r="D3" s="2"/>
      <c r="E3" s="2" t="s">
        <v>8</v>
      </c>
      <c r="F3" s="2" t="s">
        <v>55</v>
      </c>
      <c r="G3" s="2"/>
      <c r="H3" s="2" t="s">
        <v>9</v>
      </c>
      <c r="I3" s="1"/>
      <c r="J3" s="2"/>
      <c r="K3" s="6"/>
    </row>
    <row r="4" spans="1:11">
      <c r="A4" s="1" t="s">
        <v>50</v>
      </c>
      <c r="B4" s="2" t="s">
        <v>10</v>
      </c>
      <c r="C4" s="4"/>
      <c r="D4" s="2"/>
      <c r="E4" s="2"/>
      <c r="F4" s="2"/>
      <c r="G4" s="2"/>
      <c r="H4" s="2"/>
      <c r="I4" s="2"/>
      <c r="J4" s="2"/>
      <c r="K4" s="6"/>
    </row>
    <row r="5" spans="1:1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20</v>
      </c>
      <c r="K5" s="6" t="s">
        <v>21</v>
      </c>
    </row>
    <row r="6" spans="1:11">
      <c r="A6" s="1" t="s">
        <v>22</v>
      </c>
      <c r="B6" s="7">
        <v>0</v>
      </c>
      <c r="C6" s="7">
        <v>7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6">
        <f>SUM(B6:J6)</f>
        <v>7</v>
      </c>
    </row>
    <row r="7" spans="1:11">
      <c r="A7" s="1" t="s">
        <v>23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6">
        <f>SUM(B7:J7)</f>
        <v>0</v>
      </c>
    </row>
    <row r="8" spans="1:11">
      <c r="A8" s="1" t="s">
        <v>24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6">
        <f t="shared" ref="K8:K33" si="0">SUM(B8:J8)</f>
        <v>0</v>
      </c>
    </row>
    <row r="9" spans="1:11">
      <c r="A9" s="1" t="s">
        <v>25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6">
        <f t="shared" si="0"/>
        <v>0</v>
      </c>
    </row>
    <row r="10" spans="1:11">
      <c r="A10" s="1" t="s">
        <v>26</v>
      </c>
      <c r="B10" s="7">
        <v>0</v>
      </c>
      <c r="C10" s="7">
        <v>4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6">
        <f t="shared" si="0"/>
        <v>4</v>
      </c>
    </row>
    <row r="11" spans="1:11">
      <c r="A11" s="1" t="s">
        <v>27</v>
      </c>
      <c r="B11" s="7">
        <v>4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6">
        <f t="shared" si="0"/>
        <v>4</v>
      </c>
    </row>
    <row r="12" spans="1:11">
      <c r="A12" s="1" t="s">
        <v>28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6">
        <f t="shared" si="0"/>
        <v>0</v>
      </c>
    </row>
    <row r="13" spans="1:11">
      <c r="A13" s="1" t="s">
        <v>29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6">
        <f t="shared" si="0"/>
        <v>0</v>
      </c>
    </row>
    <row r="14" spans="1:11">
      <c r="A14" s="1" t="s">
        <v>30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6">
        <f t="shared" si="0"/>
        <v>0</v>
      </c>
    </row>
    <row r="15" spans="1:11">
      <c r="A15" s="1" t="s">
        <v>31</v>
      </c>
      <c r="B15" s="7">
        <v>8</v>
      </c>
      <c r="C15" s="7">
        <v>17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6">
        <f t="shared" si="0"/>
        <v>25</v>
      </c>
    </row>
    <row r="16" spans="1:11">
      <c r="A16" s="1" t="s">
        <v>32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6">
        <f t="shared" si="0"/>
        <v>0</v>
      </c>
    </row>
    <row r="17" spans="1:11">
      <c r="A17" s="3" t="s">
        <v>33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6">
        <f t="shared" si="0"/>
        <v>0</v>
      </c>
    </row>
    <row r="18" spans="1:11">
      <c r="A18" s="1" t="s">
        <v>34</v>
      </c>
      <c r="B18" s="7">
        <v>4</v>
      </c>
      <c r="C18" s="7">
        <v>8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6">
        <f t="shared" si="0"/>
        <v>12</v>
      </c>
    </row>
    <row r="19" spans="1:11">
      <c r="A19" s="1" t="s">
        <v>35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6">
        <f t="shared" si="0"/>
        <v>0</v>
      </c>
    </row>
    <row r="20" spans="1:11">
      <c r="A20" s="1" t="s">
        <v>36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6">
        <f t="shared" si="0"/>
        <v>0</v>
      </c>
    </row>
    <row r="21" spans="1:11">
      <c r="A21" s="3" t="s">
        <v>37</v>
      </c>
      <c r="B21" s="7">
        <v>0</v>
      </c>
      <c r="C21" s="7">
        <v>2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6">
        <f t="shared" si="0"/>
        <v>2</v>
      </c>
    </row>
    <row r="22" spans="1:11">
      <c r="A22" s="1" t="s">
        <v>38</v>
      </c>
      <c r="B22" s="7">
        <v>6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6">
        <f t="shared" si="0"/>
        <v>6</v>
      </c>
    </row>
    <row r="23" spans="1:11">
      <c r="A23" s="1" t="s">
        <v>39</v>
      </c>
      <c r="B23" s="7">
        <v>35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6">
        <f t="shared" si="0"/>
        <v>35</v>
      </c>
    </row>
    <row r="24" spans="1:11">
      <c r="A24" s="1" t="s">
        <v>40</v>
      </c>
      <c r="B24" s="7">
        <v>5</v>
      </c>
      <c r="C24" s="7">
        <v>16</v>
      </c>
      <c r="D24" s="7">
        <v>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6">
        <f t="shared" si="0"/>
        <v>23</v>
      </c>
    </row>
    <row r="25" spans="1:11">
      <c r="A25" s="1" t="s">
        <v>41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6">
        <f t="shared" si="0"/>
        <v>0</v>
      </c>
    </row>
    <row r="26" spans="1:11">
      <c r="A26" s="1" t="s">
        <v>42</v>
      </c>
      <c r="B26" s="7">
        <v>0</v>
      </c>
      <c r="C26" s="7">
        <v>1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6">
        <f t="shared" si="0"/>
        <v>1</v>
      </c>
    </row>
    <row r="27" spans="1:11">
      <c r="A27" s="1" t="s">
        <v>43</v>
      </c>
      <c r="B27" s="7">
        <v>4</v>
      </c>
      <c r="C27" s="7">
        <v>7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6">
        <f t="shared" si="0"/>
        <v>11</v>
      </c>
    </row>
    <row r="28" spans="1:11">
      <c r="A28" s="1" t="s">
        <v>44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6">
        <f t="shared" si="0"/>
        <v>0</v>
      </c>
    </row>
    <row r="29" spans="1:11">
      <c r="A29" s="1" t="s">
        <v>45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6">
        <f t="shared" si="0"/>
        <v>0</v>
      </c>
    </row>
    <row r="30" spans="1:11">
      <c r="A30" s="1" t="s">
        <v>46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6">
        <f t="shared" si="0"/>
        <v>0</v>
      </c>
    </row>
    <row r="31" spans="1:11">
      <c r="A31" s="1" t="s">
        <v>47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6">
        <f t="shared" si="0"/>
        <v>0</v>
      </c>
    </row>
    <row r="32" spans="1:11">
      <c r="A32" s="1" t="s">
        <v>48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6">
        <f t="shared" si="0"/>
        <v>0</v>
      </c>
    </row>
    <row r="33" spans="1:11">
      <c r="A33" s="1" t="s">
        <v>49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6">
        <f t="shared" si="0"/>
        <v>0</v>
      </c>
    </row>
    <row r="34" spans="1:11">
      <c r="A34" s="6" t="s">
        <v>21</v>
      </c>
      <c r="B34" s="8">
        <f t="shared" ref="B34:J34" si="1">SUM(B6:B33)</f>
        <v>66</v>
      </c>
      <c r="C34" s="8">
        <f t="shared" si="1"/>
        <v>62</v>
      </c>
      <c r="D34" s="8">
        <f t="shared" si="1"/>
        <v>2</v>
      </c>
      <c r="E34" s="8">
        <f t="shared" si="1"/>
        <v>0</v>
      </c>
      <c r="F34" s="8">
        <f t="shared" si="1"/>
        <v>0</v>
      </c>
      <c r="G34" s="8">
        <f t="shared" si="1"/>
        <v>0</v>
      </c>
      <c r="H34" s="8">
        <f t="shared" si="1"/>
        <v>0</v>
      </c>
      <c r="I34" s="8">
        <f t="shared" si="1"/>
        <v>0</v>
      </c>
      <c r="J34" s="8">
        <f t="shared" si="1"/>
        <v>0</v>
      </c>
      <c r="K34" s="6">
        <f>SUM(B34:J34)</f>
        <v>130</v>
      </c>
    </row>
    <row r="37" spans="1:11">
      <c r="A37" s="1" t="s">
        <v>0</v>
      </c>
      <c r="B37" s="2" t="s">
        <v>1</v>
      </c>
      <c r="C37" s="1" t="s">
        <v>56</v>
      </c>
      <c r="D37" s="2"/>
      <c r="E37" s="2" t="s">
        <v>2</v>
      </c>
      <c r="F37" s="2" t="s">
        <v>52</v>
      </c>
      <c r="G37" s="2"/>
      <c r="H37" s="2" t="s">
        <v>3</v>
      </c>
      <c r="I37" s="2">
        <v>4</v>
      </c>
      <c r="J37" s="2"/>
      <c r="K37" s="5"/>
    </row>
    <row r="38" spans="1:11">
      <c r="A38" s="1"/>
      <c r="B38" s="2" t="s">
        <v>4</v>
      </c>
      <c r="C38" s="9" t="s">
        <v>53</v>
      </c>
      <c r="D38" s="2"/>
      <c r="E38" s="2" t="s">
        <v>5</v>
      </c>
      <c r="F38" s="2"/>
      <c r="G38" s="2"/>
      <c r="H38" s="2" t="s">
        <v>6</v>
      </c>
      <c r="I38" s="1"/>
      <c r="J38" s="2"/>
      <c r="K38" s="6" t="s">
        <v>0</v>
      </c>
    </row>
    <row r="39" spans="1:11">
      <c r="A39" s="1"/>
      <c r="B39" s="2" t="s">
        <v>7</v>
      </c>
      <c r="C39" s="1" t="s">
        <v>54</v>
      </c>
      <c r="D39" s="2"/>
      <c r="E39" s="2" t="s">
        <v>8</v>
      </c>
      <c r="F39" s="2" t="s">
        <v>55</v>
      </c>
      <c r="G39" s="2"/>
      <c r="H39" s="2" t="s">
        <v>9</v>
      </c>
      <c r="I39" s="1"/>
      <c r="J39" s="2"/>
      <c r="K39" s="6"/>
    </row>
    <row r="40" spans="1:11">
      <c r="A40" s="1" t="s">
        <v>50</v>
      </c>
      <c r="B40" s="2" t="s">
        <v>10</v>
      </c>
      <c r="C40" s="4"/>
      <c r="D40" s="2"/>
      <c r="E40" s="2"/>
      <c r="F40" s="2"/>
      <c r="G40" s="2"/>
      <c r="H40" s="2"/>
      <c r="I40" s="2"/>
      <c r="J40" s="2"/>
      <c r="K40" s="6"/>
    </row>
    <row r="41" spans="1:11">
      <c r="A41" s="1" t="s">
        <v>11</v>
      </c>
      <c r="B41" s="2" t="s">
        <v>12</v>
      </c>
      <c r="C41" s="2" t="s">
        <v>13</v>
      </c>
      <c r="D41" s="2" t="s">
        <v>14</v>
      </c>
      <c r="E41" s="2" t="s">
        <v>15</v>
      </c>
      <c r="F41" s="2" t="s">
        <v>16</v>
      </c>
      <c r="G41" s="2" t="s">
        <v>17</v>
      </c>
      <c r="H41" s="2" t="s">
        <v>18</v>
      </c>
      <c r="I41" s="2" t="s">
        <v>19</v>
      </c>
      <c r="J41" s="2" t="s">
        <v>20</v>
      </c>
      <c r="K41" s="6" t="s">
        <v>21</v>
      </c>
    </row>
    <row r="42" spans="1:11">
      <c r="A42" s="1" t="s">
        <v>22</v>
      </c>
      <c r="B42" s="7">
        <v>4</v>
      </c>
      <c r="C42" s="7">
        <v>9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6">
        <f>SUM(B42:J42)</f>
        <v>13</v>
      </c>
    </row>
    <row r="43" spans="1:11">
      <c r="A43" s="1" t="s">
        <v>23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6">
        <f>SUM(B43:J43)</f>
        <v>0</v>
      </c>
    </row>
    <row r="44" spans="1:11">
      <c r="A44" s="1" t="s">
        <v>24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6">
        <f t="shared" ref="K44:K69" si="2">SUM(B44:J44)</f>
        <v>0</v>
      </c>
    </row>
    <row r="45" spans="1:11">
      <c r="A45" s="1" t="s">
        <v>25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6">
        <f t="shared" si="2"/>
        <v>0</v>
      </c>
    </row>
    <row r="46" spans="1:11">
      <c r="A46" s="1" t="s">
        <v>26</v>
      </c>
      <c r="B46" s="7">
        <v>0</v>
      </c>
      <c r="C46" s="7">
        <v>6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6">
        <f t="shared" si="2"/>
        <v>6</v>
      </c>
    </row>
    <row r="47" spans="1:11">
      <c r="A47" s="1" t="s">
        <v>27</v>
      </c>
      <c r="B47" s="7">
        <v>5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6">
        <f t="shared" si="2"/>
        <v>5</v>
      </c>
    </row>
    <row r="48" spans="1:11">
      <c r="A48" s="1" t="s">
        <v>28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6">
        <f t="shared" si="2"/>
        <v>0</v>
      </c>
    </row>
    <row r="49" spans="1:11">
      <c r="A49" s="1" t="s">
        <v>29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6">
        <f t="shared" si="2"/>
        <v>0</v>
      </c>
    </row>
    <row r="50" spans="1:11">
      <c r="A50" s="1" t="s">
        <v>30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6">
        <f t="shared" si="2"/>
        <v>0</v>
      </c>
    </row>
    <row r="51" spans="1:11">
      <c r="A51" s="1" t="s">
        <v>31</v>
      </c>
      <c r="B51" s="7">
        <v>8</v>
      </c>
      <c r="C51" s="7">
        <v>13</v>
      </c>
      <c r="D51" s="7">
        <v>4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6">
        <f t="shared" si="2"/>
        <v>25</v>
      </c>
    </row>
    <row r="52" spans="1:11">
      <c r="A52" s="1" t="s">
        <v>32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6">
        <f t="shared" si="2"/>
        <v>0</v>
      </c>
    </row>
    <row r="53" spans="1:11">
      <c r="A53" s="3" t="s">
        <v>33</v>
      </c>
      <c r="B53" s="7">
        <v>2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6">
        <f t="shared" si="2"/>
        <v>2</v>
      </c>
    </row>
    <row r="54" spans="1:11">
      <c r="A54" s="1" t="s">
        <v>34</v>
      </c>
      <c r="B54" s="7">
        <v>8</v>
      </c>
      <c r="C54" s="7">
        <v>5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6">
        <f t="shared" si="2"/>
        <v>13</v>
      </c>
    </row>
    <row r="55" spans="1:11">
      <c r="A55" s="1" t="s">
        <v>35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6">
        <f t="shared" si="2"/>
        <v>0</v>
      </c>
    </row>
    <row r="56" spans="1:11">
      <c r="A56" s="1" t="s">
        <v>36</v>
      </c>
      <c r="B56" s="7">
        <v>0</v>
      </c>
      <c r="C56" s="7">
        <v>3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6">
        <f t="shared" si="2"/>
        <v>3</v>
      </c>
    </row>
    <row r="57" spans="1:11">
      <c r="A57" s="3" t="s">
        <v>37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6">
        <f t="shared" si="2"/>
        <v>0</v>
      </c>
    </row>
    <row r="58" spans="1:11">
      <c r="A58" s="1" t="s">
        <v>38</v>
      </c>
      <c r="B58" s="7">
        <v>7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6">
        <f t="shared" si="2"/>
        <v>7</v>
      </c>
    </row>
    <row r="59" spans="1:11">
      <c r="A59" s="1" t="s">
        <v>39</v>
      </c>
      <c r="B59" s="7">
        <v>23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6">
        <f t="shared" si="2"/>
        <v>23</v>
      </c>
    </row>
    <row r="60" spans="1:11">
      <c r="A60" s="1" t="s">
        <v>40</v>
      </c>
      <c r="B60" s="7">
        <v>8</v>
      </c>
      <c r="C60" s="7">
        <v>14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6">
        <f t="shared" si="2"/>
        <v>22</v>
      </c>
    </row>
    <row r="61" spans="1:11">
      <c r="A61" s="1" t="s">
        <v>41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6">
        <f t="shared" si="2"/>
        <v>0</v>
      </c>
    </row>
    <row r="62" spans="1:11">
      <c r="A62" s="1" t="s">
        <v>42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6">
        <f t="shared" si="2"/>
        <v>0</v>
      </c>
    </row>
    <row r="63" spans="1:11">
      <c r="A63" s="1" t="s">
        <v>43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6">
        <f t="shared" si="2"/>
        <v>0</v>
      </c>
    </row>
    <row r="64" spans="1:11">
      <c r="A64" s="1" t="s">
        <v>44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6">
        <f t="shared" si="2"/>
        <v>0</v>
      </c>
    </row>
    <row r="65" spans="1:11">
      <c r="A65" s="1" t="s">
        <v>45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6">
        <f t="shared" si="2"/>
        <v>0</v>
      </c>
    </row>
    <row r="66" spans="1:11">
      <c r="A66" s="1" t="s">
        <v>46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6">
        <f t="shared" si="2"/>
        <v>0</v>
      </c>
    </row>
    <row r="67" spans="1:11">
      <c r="A67" s="1" t="s">
        <v>47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6">
        <f t="shared" si="2"/>
        <v>0</v>
      </c>
    </row>
    <row r="68" spans="1:11">
      <c r="A68" s="1" t="s">
        <v>48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6">
        <f t="shared" si="2"/>
        <v>0</v>
      </c>
    </row>
    <row r="69" spans="1:11">
      <c r="A69" s="1" t="s">
        <v>49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6">
        <f t="shared" si="2"/>
        <v>0</v>
      </c>
    </row>
    <row r="70" spans="1:11">
      <c r="A70" s="6" t="s">
        <v>21</v>
      </c>
      <c r="B70" s="8">
        <f t="shared" ref="B70:J70" si="3">SUM(B42:B69)</f>
        <v>65</v>
      </c>
      <c r="C70" s="8">
        <f t="shared" si="3"/>
        <v>50</v>
      </c>
      <c r="D70" s="8">
        <f t="shared" si="3"/>
        <v>4</v>
      </c>
      <c r="E70" s="8">
        <f t="shared" si="3"/>
        <v>0</v>
      </c>
      <c r="F70" s="8">
        <f t="shared" si="3"/>
        <v>0</v>
      </c>
      <c r="G70" s="8">
        <f t="shared" si="3"/>
        <v>0</v>
      </c>
      <c r="H70" s="8">
        <f t="shared" si="3"/>
        <v>0</v>
      </c>
      <c r="I70" s="8">
        <f t="shared" si="3"/>
        <v>0</v>
      </c>
      <c r="J70" s="8">
        <f t="shared" si="3"/>
        <v>0</v>
      </c>
      <c r="K70" s="6">
        <f>SUM(B70:J70)</f>
        <v>119</v>
      </c>
    </row>
    <row r="73" spans="1:11">
      <c r="A73" s="1" t="s">
        <v>0</v>
      </c>
      <c r="B73" s="2" t="s">
        <v>1</v>
      </c>
      <c r="C73" s="1" t="s">
        <v>57</v>
      </c>
      <c r="D73" s="2"/>
      <c r="E73" s="2" t="s">
        <v>2</v>
      </c>
      <c r="F73" s="2" t="s">
        <v>52</v>
      </c>
      <c r="G73" s="2"/>
      <c r="H73" s="2" t="s">
        <v>3</v>
      </c>
      <c r="I73" s="2">
        <v>4</v>
      </c>
      <c r="J73" s="2"/>
      <c r="K73" s="5"/>
    </row>
    <row r="74" spans="1:11">
      <c r="A74" s="1"/>
      <c r="B74" s="2" t="s">
        <v>4</v>
      </c>
      <c r="C74" s="9" t="s">
        <v>53</v>
      </c>
      <c r="D74" s="2"/>
      <c r="E74" s="2" t="s">
        <v>5</v>
      </c>
      <c r="F74" s="2"/>
      <c r="G74" s="2"/>
      <c r="H74" s="2" t="s">
        <v>6</v>
      </c>
      <c r="I74" s="1"/>
      <c r="J74" s="2"/>
      <c r="K74" s="6" t="s">
        <v>0</v>
      </c>
    </row>
    <row r="75" spans="1:11">
      <c r="A75" s="1"/>
      <c r="B75" s="2" t="s">
        <v>7</v>
      </c>
      <c r="C75" s="1" t="s">
        <v>54</v>
      </c>
      <c r="D75" s="2"/>
      <c r="E75" s="2" t="s">
        <v>8</v>
      </c>
      <c r="F75" s="2" t="s">
        <v>55</v>
      </c>
      <c r="G75" s="2"/>
      <c r="H75" s="2" t="s">
        <v>9</v>
      </c>
      <c r="I75" s="1"/>
      <c r="J75" s="2"/>
      <c r="K75" s="6"/>
    </row>
    <row r="76" spans="1:11">
      <c r="A76" s="1" t="s">
        <v>50</v>
      </c>
      <c r="B76" s="2" t="s">
        <v>10</v>
      </c>
      <c r="C76" s="4"/>
      <c r="D76" s="2"/>
      <c r="E76" s="2"/>
      <c r="F76" s="2"/>
      <c r="G76" s="2"/>
      <c r="H76" s="2"/>
      <c r="I76" s="2"/>
      <c r="J76" s="2"/>
      <c r="K76" s="6"/>
    </row>
    <row r="77" spans="1:11">
      <c r="A77" s="1" t="s">
        <v>11</v>
      </c>
      <c r="B77" s="2" t="s">
        <v>12</v>
      </c>
      <c r="C77" s="2" t="s">
        <v>13</v>
      </c>
      <c r="D77" s="2" t="s">
        <v>14</v>
      </c>
      <c r="E77" s="2" t="s">
        <v>15</v>
      </c>
      <c r="F77" s="2" t="s">
        <v>16</v>
      </c>
      <c r="G77" s="2" t="s">
        <v>17</v>
      </c>
      <c r="H77" s="2" t="s">
        <v>18</v>
      </c>
      <c r="I77" s="2" t="s">
        <v>19</v>
      </c>
      <c r="J77" s="2" t="s">
        <v>20</v>
      </c>
      <c r="K77" s="6" t="s">
        <v>21</v>
      </c>
    </row>
    <row r="78" spans="1:11">
      <c r="A78" s="1" t="s">
        <v>22</v>
      </c>
      <c r="B78" s="7">
        <v>2</v>
      </c>
      <c r="C78" s="7">
        <v>6</v>
      </c>
      <c r="D78" s="7">
        <v>2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6">
        <f>SUM(B78:J78)</f>
        <v>10</v>
      </c>
    </row>
    <row r="79" spans="1:11">
      <c r="A79" s="1" t="s">
        <v>23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6">
        <f>SUM(B79:J79)</f>
        <v>0</v>
      </c>
    </row>
    <row r="80" spans="1:11">
      <c r="A80" s="1" t="s">
        <v>24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6">
        <f t="shared" ref="K80:K105" si="4">SUM(B80:J80)</f>
        <v>0</v>
      </c>
    </row>
    <row r="81" spans="1:11">
      <c r="A81" s="1" t="s">
        <v>25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6">
        <f t="shared" si="4"/>
        <v>0</v>
      </c>
    </row>
    <row r="82" spans="1:11">
      <c r="A82" s="1" t="s">
        <v>26</v>
      </c>
      <c r="B82" s="7">
        <v>0</v>
      </c>
      <c r="C82" s="7">
        <v>3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6">
        <f t="shared" si="4"/>
        <v>3</v>
      </c>
    </row>
    <row r="83" spans="1:11">
      <c r="A83" s="1" t="s">
        <v>27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6">
        <f t="shared" si="4"/>
        <v>0</v>
      </c>
    </row>
    <row r="84" spans="1:11">
      <c r="A84" s="1" t="s">
        <v>28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6">
        <f t="shared" si="4"/>
        <v>0</v>
      </c>
    </row>
    <row r="85" spans="1:11">
      <c r="A85" s="1" t="s">
        <v>29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6">
        <f t="shared" si="4"/>
        <v>0</v>
      </c>
    </row>
    <row r="86" spans="1:11">
      <c r="A86" s="1" t="s">
        <v>30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6">
        <f t="shared" si="4"/>
        <v>0</v>
      </c>
    </row>
    <row r="87" spans="1:11">
      <c r="A87" s="1" t="s">
        <v>31</v>
      </c>
      <c r="B87" s="7">
        <v>8</v>
      </c>
      <c r="C87" s="7">
        <v>7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6">
        <f t="shared" si="4"/>
        <v>15</v>
      </c>
    </row>
    <row r="88" spans="1:11">
      <c r="A88" s="1" t="s">
        <v>32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6">
        <f t="shared" si="4"/>
        <v>0</v>
      </c>
    </row>
    <row r="89" spans="1:11">
      <c r="A89" s="3" t="s">
        <v>33</v>
      </c>
      <c r="B89" s="7">
        <v>0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6">
        <f t="shared" si="4"/>
        <v>0</v>
      </c>
    </row>
    <row r="90" spans="1:11">
      <c r="A90" s="1" t="s">
        <v>34</v>
      </c>
      <c r="B90" s="7">
        <v>12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6">
        <f t="shared" si="4"/>
        <v>12</v>
      </c>
    </row>
    <row r="91" spans="1:11">
      <c r="A91" s="1" t="s">
        <v>35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6">
        <f t="shared" si="4"/>
        <v>0</v>
      </c>
    </row>
    <row r="92" spans="1:11">
      <c r="A92" s="1" t="s">
        <v>36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6">
        <f t="shared" si="4"/>
        <v>0</v>
      </c>
    </row>
    <row r="93" spans="1:11">
      <c r="A93" s="3" t="s">
        <v>37</v>
      </c>
      <c r="B93" s="7">
        <v>0</v>
      </c>
      <c r="C93" s="7">
        <v>1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6">
        <f t="shared" si="4"/>
        <v>1</v>
      </c>
    </row>
    <row r="94" spans="1:11">
      <c r="A94" s="1" t="s">
        <v>38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6">
        <f t="shared" si="4"/>
        <v>0</v>
      </c>
    </row>
    <row r="95" spans="1:11">
      <c r="A95" s="1" t="s">
        <v>39</v>
      </c>
      <c r="B95" s="7">
        <v>67</v>
      </c>
      <c r="C95" s="7">
        <v>8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6">
        <f t="shared" si="4"/>
        <v>75</v>
      </c>
    </row>
    <row r="96" spans="1:11">
      <c r="A96" s="1" t="s">
        <v>40</v>
      </c>
      <c r="B96" s="7">
        <v>0</v>
      </c>
      <c r="C96" s="7">
        <v>22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6">
        <f t="shared" si="4"/>
        <v>22</v>
      </c>
    </row>
    <row r="97" spans="1:11">
      <c r="A97" s="1" t="s">
        <v>41</v>
      </c>
      <c r="B97" s="7">
        <v>0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6">
        <f t="shared" si="4"/>
        <v>0</v>
      </c>
    </row>
    <row r="98" spans="1:11">
      <c r="A98" s="1" t="s">
        <v>42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6">
        <f t="shared" si="4"/>
        <v>0</v>
      </c>
    </row>
    <row r="99" spans="1:11">
      <c r="A99" s="1" t="s">
        <v>43</v>
      </c>
      <c r="B99" s="7">
        <v>0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6">
        <f t="shared" si="4"/>
        <v>0</v>
      </c>
    </row>
    <row r="100" spans="1:11">
      <c r="A100" s="1" t="s">
        <v>44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6">
        <f t="shared" si="4"/>
        <v>0</v>
      </c>
    </row>
    <row r="101" spans="1:11">
      <c r="A101" s="1" t="s">
        <v>45</v>
      </c>
      <c r="B101" s="7">
        <v>0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6">
        <f t="shared" si="4"/>
        <v>0</v>
      </c>
    </row>
    <row r="102" spans="1:11">
      <c r="A102" s="1" t="s">
        <v>46</v>
      </c>
      <c r="B102" s="7">
        <v>0</v>
      </c>
      <c r="C102" s="7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6">
        <f t="shared" si="4"/>
        <v>0</v>
      </c>
    </row>
    <row r="103" spans="1:11">
      <c r="A103" s="1" t="s">
        <v>47</v>
      </c>
      <c r="B103" s="7">
        <v>0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6">
        <f t="shared" si="4"/>
        <v>0</v>
      </c>
    </row>
    <row r="104" spans="1:11">
      <c r="A104" s="1" t="s">
        <v>48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6">
        <f t="shared" si="4"/>
        <v>0</v>
      </c>
    </row>
    <row r="105" spans="1:11">
      <c r="A105" s="1" t="s">
        <v>49</v>
      </c>
      <c r="B105" s="7">
        <v>0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6">
        <f t="shared" si="4"/>
        <v>0</v>
      </c>
    </row>
    <row r="106" spans="1:11">
      <c r="A106" s="6" t="s">
        <v>21</v>
      </c>
      <c r="B106" s="8">
        <f t="shared" ref="B106:J106" si="5">SUM(B78:B105)</f>
        <v>89</v>
      </c>
      <c r="C106" s="8">
        <f t="shared" si="5"/>
        <v>47</v>
      </c>
      <c r="D106" s="8">
        <f t="shared" si="5"/>
        <v>2</v>
      </c>
      <c r="E106" s="8">
        <f t="shared" si="5"/>
        <v>0</v>
      </c>
      <c r="F106" s="8">
        <f t="shared" si="5"/>
        <v>0</v>
      </c>
      <c r="G106" s="8">
        <f t="shared" si="5"/>
        <v>0</v>
      </c>
      <c r="H106" s="8">
        <f t="shared" si="5"/>
        <v>0</v>
      </c>
      <c r="I106" s="8">
        <f t="shared" si="5"/>
        <v>0</v>
      </c>
      <c r="J106" s="8">
        <f t="shared" si="5"/>
        <v>0</v>
      </c>
      <c r="K106" s="6">
        <f>SUM(B106:J106)</f>
        <v>138</v>
      </c>
    </row>
    <row r="109" spans="1:11">
      <c r="A109" s="1" t="s">
        <v>0</v>
      </c>
      <c r="B109" s="2" t="s">
        <v>1</v>
      </c>
      <c r="C109" s="1" t="s">
        <v>58</v>
      </c>
      <c r="D109" s="2"/>
      <c r="E109" s="2" t="s">
        <v>2</v>
      </c>
      <c r="F109" s="2" t="s">
        <v>52</v>
      </c>
      <c r="G109" s="2"/>
      <c r="H109" s="2" t="s">
        <v>3</v>
      </c>
      <c r="I109" s="2">
        <v>4</v>
      </c>
      <c r="J109" s="2"/>
      <c r="K109" s="5"/>
    </row>
    <row r="110" spans="1:11">
      <c r="A110" s="1"/>
      <c r="B110" s="2" t="s">
        <v>4</v>
      </c>
      <c r="C110" s="9" t="s">
        <v>53</v>
      </c>
      <c r="D110" s="2"/>
      <c r="E110" s="2" t="s">
        <v>5</v>
      </c>
      <c r="F110" s="2"/>
      <c r="G110" s="2"/>
      <c r="H110" s="2" t="s">
        <v>6</v>
      </c>
      <c r="I110" s="1"/>
      <c r="J110" s="2"/>
      <c r="K110" s="6" t="s">
        <v>0</v>
      </c>
    </row>
    <row r="111" spans="1:11">
      <c r="A111" s="1"/>
      <c r="B111" s="2" t="s">
        <v>7</v>
      </c>
      <c r="C111" s="1" t="s">
        <v>54</v>
      </c>
      <c r="D111" s="2"/>
      <c r="E111" s="2" t="s">
        <v>8</v>
      </c>
      <c r="F111" s="2" t="s">
        <v>55</v>
      </c>
      <c r="G111" s="2"/>
      <c r="H111" s="2" t="s">
        <v>9</v>
      </c>
      <c r="I111" s="1"/>
      <c r="J111" s="2"/>
      <c r="K111" s="6"/>
    </row>
    <row r="112" spans="1:11">
      <c r="A112" s="1" t="s">
        <v>50</v>
      </c>
      <c r="B112" s="2" t="s">
        <v>10</v>
      </c>
      <c r="C112" s="4"/>
      <c r="D112" s="2"/>
      <c r="E112" s="2"/>
      <c r="F112" s="2"/>
      <c r="G112" s="2"/>
      <c r="H112" s="2"/>
      <c r="I112" s="2"/>
      <c r="J112" s="2"/>
      <c r="K112" s="6"/>
    </row>
    <row r="113" spans="1:11">
      <c r="A113" s="1" t="s">
        <v>11</v>
      </c>
      <c r="B113" s="2" t="s">
        <v>12</v>
      </c>
      <c r="C113" s="2" t="s">
        <v>13</v>
      </c>
      <c r="D113" s="2" t="s">
        <v>14</v>
      </c>
      <c r="E113" s="2" t="s">
        <v>15</v>
      </c>
      <c r="F113" s="2" t="s">
        <v>16</v>
      </c>
      <c r="G113" s="2" t="s">
        <v>17</v>
      </c>
      <c r="H113" s="2" t="s">
        <v>18</v>
      </c>
      <c r="I113" s="2" t="s">
        <v>19</v>
      </c>
      <c r="J113" s="2" t="s">
        <v>20</v>
      </c>
      <c r="K113" s="6" t="s">
        <v>21</v>
      </c>
    </row>
    <row r="114" spans="1:11">
      <c r="A114" s="1" t="s">
        <v>22</v>
      </c>
      <c r="B114" s="7">
        <v>0</v>
      </c>
      <c r="C114" s="7">
        <v>5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6">
        <f>SUM(B114:J114)</f>
        <v>5</v>
      </c>
    </row>
    <row r="115" spans="1:11">
      <c r="A115" s="1" t="s">
        <v>23</v>
      </c>
      <c r="B115" s="7">
        <v>0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6">
        <f>SUM(B115:J115)</f>
        <v>0</v>
      </c>
    </row>
    <row r="116" spans="1:11">
      <c r="A116" s="1" t="s">
        <v>24</v>
      </c>
      <c r="B116" s="7">
        <v>0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6">
        <f t="shared" ref="K116:K141" si="6">SUM(B116:J116)</f>
        <v>0</v>
      </c>
    </row>
    <row r="117" spans="1:11">
      <c r="A117" s="1" t="s">
        <v>25</v>
      </c>
      <c r="B117" s="7">
        <v>0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6">
        <f t="shared" si="6"/>
        <v>0</v>
      </c>
    </row>
    <row r="118" spans="1:11">
      <c r="A118" s="1" t="s">
        <v>26</v>
      </c>
      <c r="B118" s="7">
        <v>0</v>
      </c>
      <c r="C118" s="7">
        <v>4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6">
        <f t="shared" si="6"/>
        <v>4</v>
      </c>
    </row>
    <row r="119" spans="1:11">
      <c r="A119" s="1" t="s">
        <v>27</v>
      </c>
      <c r="B119" s="7">
        <v>2</v>
      </c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6">
        <f t="shared" si="6"/>
        <v>2</v>
      </c>
    </row>
    <row r="120" spans="1:11">
      <c r="A120" s="1" t="s">
        <v>28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6">
        <f t="shared" si="6"/>
        <v>0</v>
      </c>
    </row>
    <row r="121" spans="1:11">
      <c r="A121" s="1" t="s">
        <v>29</v>
      </c>
      <c r="B121" s="7">
        <v>0</v>
      </c>
      <c r="C121" s="7">
        <v>0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6">
        <f t="shared" si="6"/>
        <v>0</v>
      </c>
    </row>
    <row r="122" spans="1:11">
      <c r="A122" s="1" t="s">
        <v>30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6">
        <f t="shared" si="6"/>
        <v>0</v>
      </c>
    </row>
    <row r="123" spans="1:11">
      <c r="A123" s="1" t="s">
        <v>31</v>
      </c>
      <c r="B123" s="7">
        <v>5</v>
      </c>
      <c r="C123" s="7">
        <v>11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6">
        <f t="shared" si="6"/>
        <v>16</v>
      </c>
    </row>
    <row r="124" spans="1:11">
      <c r="A124" s="1" t="s">
        <v>32</v>
      </c>
      <c r="B124" s="7">
        <v>0</v>
      </c>
      <c r="C124" s="7">
        <v>6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6">
        <f t="shared" si="6"/>
        <v>6</v>
      </c>
    </row>
    <row r="125" spans="1:11">
      <c r="A125" s="3" t="s">
        <v>33</v>
      </c>
      <c r="B125" s="7">
        <v>0</v>
      </c>
      <c r="C125" s="7">
        <v>4</v>
      </c>
      <c r="D125" s="7">
        <v>0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6">
        <f t="shared" si="6"/>
        <v>4</v>
      </c>
    </row>
    <row r="126" spans="1:11">
      <c r="A126" s="1" t="s">
        <v>34</v>
      </c>
      <c r="B126" s="7">
        <v>3</v>
      </c>
      <c r="C126" s="7">
        <v>13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6">
        <f t="shared" si="6"/>
        <v>16</v>
      </c>
    </row>
    <row r="127" spans="1:11">
      <c r="A127" s="1" t="s">
        <v>35</v>
      </c>
      <c r="B127" s="7">
        <v>0</v>
      </c>
      <c r="C127" s="7">
        <v>0</v>
      </c>
      <c r="D127" s="7">
        <v>0</v>
      </c>
      <c r="E127" s="7">
        <v>0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6">
        <f t="shared" si="6"/>
        <v>0</v>
      </c>
    </row>
    <row r="128" spans="1:11">
      <c r="A128" s="1" t="s">
        <v>36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6">
        <f t="shared" si="6"/>
        <v>0</v>
      </c>
    </row>
    <row r="129" spans="1:11">
      <c r="A129" s="3" t="s">
        <v>37</v>
      </c>
      <c r="B129" s="7">
        <v>0</v>
      </c>
      <c r="C129" s="7">
        <v>0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6">
        <f t="shared" si="6"/>
        <v>0</v>
      </c>
    </row>
    <row r="130" spans="1:11">
      <c r="A130" s="1" t="s">
        <v>38</v>
      </c>
      <c r="B130" s="7">
        <v>2</v>
      </c>
      <c r="C130" s="7">
        <v>6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6">
        <f t="shared" si="6"/>
        <v>8</v>
      </c>
    </row>
    <row r="131" spans="1:11">
      <c r="A131" s="1" t="s">
        <v>39</v>
      </c>
      <c r="B131" s="7">
        <v>98</v>
      </c>
      <c r="C131" s="7">
        <v>11</v>
      </c>
      <c r="D131" s="7">
        <v>0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6">
        <f t="shared" si="6"/>
        <v>109</v>
      </c>
    </row>
    <row r="132" spans="1:11">
      <c r="A132" s="1" t="s">
        <v>40</v>
      </c>
      <c r="B132" s="7">
        <v>0</v>
      </c>
      <c r="C132" s="7">
        <v>0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6">
        <f t="shared" si="6"/>
        <v>0</v>
      </c>
    </row>
    <row r="133" spans="1:11">
      <c r="A133" s="1" t="s">
        <v>41</v>
      </c>
      <c r="B133" s="7">
        <v>0</v>
      </c>
      <c r="C133" s="7">
        <v>0</v>
      </c>
      <c r="D133" s="7">
        <v>0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6">
        <f t="shared" si="6"/>
        <v>0</v>
      </c>
    </row>
    <row r="134" spans="1:11">
      <c r="A134" s="1" t="s">
        <v>42</v>
      </c>
      <c r="B134" s="7">
        <v>0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6">
        <f t="shared" si="6"/>
        <v>0</v>
      </c>
    </row>
    <row r="135" spans="1:11">
      <c r="A135" s="1" t="s">
        <v>43</v>
      </c>
      <c r="B135" s="7">
        <v>0</v>
      </c>
      <c r="C135" s="7">
        <v>0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6">
        <f t="shared" si="6"/>
        <v>0</v>
      </c>
    </row>
    <row r="136" spans="1:11">
      <c r="A136" s="1" t="s">
        <v>44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6">
        <f t="shared" si="6"/>
        <v>0</v>
      </c>
    </row>
    <row r="137" spans="1:11">
      <c r="A137" s="1" t="s">
        <v>45</v>
      </c>
      <c r="B137" s="7">
        <v>0</v>
      </c>
      <c r="C137" s="7">
        <v>0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6">
        <f t="shared" si="6"/>
        <v>0</v>
      </c>
    </row>
    <row r="138" spans="1:11">
      <c r="A138" s="1" t="s">
        <v>46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6">
        <f t="shared" si="6"/>
        <v>0</v>
      </c>
    </row>
    <row r="139" spans="1:11">
      <c r="A139" s="1" t="s">
        <v>47</v>
      </c>
      <c r="B139" s="7">
        <v>0</v>
      </c>
      <c r="C139" s="7">
        <v>0</v>
      </c>
      <c r="D139" s="7">
        <v>0</v>
      </c>
      <c r="E139" s="7">
        <v>0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6">
        <f t="shared" si="6"/>
        <v>0</v>
      </c>
    </row>
    <row r="140" spans="1:11">
      <c r="A140" s="1" t="s">
        <v>48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6">
        <f t="shared" si="6"/>
        <v>0</v>
      </c>
    </row>
    <row r="141" spans="1:11">
      <c r="A141" s="1" t="s">
        <v>49</v>
      </c>
      <c r="B141" s="7">
        <v>0</v>
      </c>
      <c r="C141" s="7">
        <v>0</v>
      </c>
      <c r="D141" s="7">
        <v>0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6">
        <f t="shared" si="6"/>
        <v>0</v>
      </c>
    </row>
    <row r="142" spans="1:11">
      <c r="A142" s="6" t="s">
        <v>21</v>
      </c>
      <c r="B142" s="8">
        <f t="shared" ref="B142:J142" si="7">SUM(B114:B141)</f>
        <v>110</v>
      </c>
      <c r="C142" s="8">
        <f t="shared" si="7"/>
        <v>60</v>
      </c>
      <c r="D142" s="8">
        <f t="shared" si="7"/>
        <v>0</v>
      </c>
      <c r="E142" s="8">
        <f t="shared" si="7"/>
        <v>0</v>
      </c>
      <c r="F142" s="8">
        <f t="shared" si="7"/>
        <v>0</v>
      </c>
      <c r="G142" s="8">
        <f t="shared" si="7"/>
        <v>0</v>
      </c>
      <c r="H142" s="8">
        <f t="shared" si="7"/>
        <v>0</v>
      </c>
      <c r="I142" s="8">
        <f t="shared" si="7"/>
        <v>0</v>
      </c>
      <c r="J142" s="8">
        <f t="shared" si="7"/>
        <v>0</v>
      </c>
      <c r="K142" s="6">
        <f>SUM(B142:J142)</f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Iswalala, Pagu</dc:creator>
  <cp:lastModifiedBy>Iswalala, Pagu</cp:lastModifiedBy>
  <dcterms:created xsi:type="dcterms:W3CDTF">2026-03-17T14:42:42Z</dcterms:created>
  <dcterms:modified xsi:type="dcterms:W3CDTF">2026-03-22T16:40:04Z</dcterms:modified>
</cp:coreProperties>
</file>