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EliteBook\Desktop\TNC survey\"/>
    </mc:Choice>
  </mc:AlternateContent>
  <bookViews>
    <workbookView xWindow="0" yWindow="0" windowWidth="9510" windowHeight="6465"/>
  </bookViews>
  <sheets>
    <sheet name="invMtwara" sheetId="1" r:id="rId1"/>
  </sheets>
  <calcPr calcId="152511"/>
  <extLst>
    <ext uri="GoogleSheetsCustomDataVersion2">
      <go:sheetsCustomData xmlns:go="http://customooxmlschemas.google.com/" r:id="rId5" roundtripDataChecksum="xt7wLx7dfyf0krvV/3Z0zGJBKuV9c5OTsDSR/o5R3Dk="/>
    </ext>
  </extLst>
</workbook>
</file>

<file path=xl/calcChain.xml><?xml version="1.0" encoding="utf-8"?>
<calcChain xmlns="http://schemas.openxmlformats.org/spreadsheetml/2006/main">
  <c r="R52" i="1" l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</calcChain>
</file>

<file path=xl/sharedStrings.xml><?xml version="1.0" encoding="utf-8"?>
<sst xmlns="http://schemas.openxmlformats.org/spreadsheetml/2006/main" count="307" uniqueCount="69">
  <si>
    <t>Date</t>
  </si>
  <si>
    <t>Location</t>
  </si>
  <si>
    <t>Site</t>
  </si>
  <si>
    <t>Management</t>
  </si>
  <si>
    <t>Tides</t>
  </si>
  <si>
    <t>Transtect</t>
  </si>
  <si>
    <t>Urchin</t>
  </si>
  <si>
    <t>Sea cucumber</t>
  </si>
  <si>
    <t>Gastropods</t>
  </si>
  <si>
    <t>Sea star</t>
  </si>
  <si>
    <t>bivalves</t>
  </si>
  <si>
    <t>octopus</t>
  </si>
  <si>
    <t>worms</t>
  </si>
  <si>
    <t>COTs</t>
  </si>
  <si>
    <t>CRAB</t>
  </si>
  <si>
    <t>Others</t>
  </si>
  <si>
    <t>Total</t>
  </si>
  <si>
    <t>Avg</t>
  </si>
  <si>
    <t>Data collector</t>
  </si>
  <si>
    <t>20/3/2026</t>
  </si>
  <si>
    <t>MBREMP</t>
  </si>
  <si>
    <t>chamba cha  kati</t>
  </si>
  <si>
    <t>specified use zone</t>
  </si>
  <si>
    <t>spring low</t>
  </si>
  <si>
    <t>D.orio</t>
  </si>
  <si>
    <t>22/3/2026</t>
  </si>
  <si>
    <t>Msanga mkuu</t>
  </si>
  <si>
    <t>nusura</t>
  </si>
  <si>
    <t>BMU</t>
  </si>
  <si>
    <t>viulu</t>
  </si>
  <si>
    <t>26/4/2026</t>
  </si>
  <si>
    <t>Mgao</t>
  </si>
  <si>
    <t>Mmaluko</t>
  </si>
  <si>
    <t xml:space="preserve">neap high </t>
  </si>
  <si>
    <t>26/4/2027</t>
  </si>
  <si>
    <t>26/4/2028</t>
  </si>
  <si>
    <t>26/4/2029</t>
  </si>
  <si>
    <t>26/4/2030</t>
  </si>
  <si>
    <t>26/4/2031</t>
  </si>
  <si>
    <t>27/4/2026</t>
  </si>
  <si>
    <t>Matenga</t>
  </si>
  <si>
    <t>Core zone</t>
  </si>
  <si>
    <t>neap low</t>
  </si>
  <si>
    <t>27/4/2027</t>
  </si>
  <si>
    <t>27/4/2028</t>
  </si>
  <si>
    <t>27/4/2029</t>
  </si>
  <si>
    <t>27/4/2030</t>
  </si>
  <si>
    <t>27/4/2031</t>
  </si>
  <si>
    <t>27/4/2032</t>
  </si>
  <si>
    <t>Membelwa</t>
  </si>
  <si>
    <t>27/4/2033</t>
  </si>
  <si>
    <t>27/4/2034</t>
  </si>
  <si>
    <t>27/4/2035</t>
  </si>
  <si>
    <t>27/4/2036</t>
  </si>
  <si>
    <t>27/4/2037</t>
  </si>
  <si>
    <t>28/04/2026</t>
  </si>
  <si>
    <t>kieti</t>
  </si>
  <si>
    <t>28/04/2027</t>
  </si>
  <si>
    <t>28/04/2028</t>
  </si>
  <si>
    <t>28/04/2029</t>
  </si>
  <si>
    <t>28/04/2030</t>
  </si>
  <si>
    <t>28/04/2031</t>
  </si>
  <si>
    <t>28/04/2032</t>
  </si>
  <si>
    <t>Rasmo/ruvula channel</t>
  </si>
  <si>
    <t>28/04/2033</t>
  </si>
  <si>
    <t>28/04/2034</t>
  </si>
  <si>
    <t>28/04/2035</t>
  </si>
  <si>
    <t>28/04/2036</t>
  </si>
  <si>
    <t>28/04/2037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</si>
</sst>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8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25" defaultRowHeight="15" customHeight="1"/>
  <cols>
    <col min="1" max="1" width="11.625" customWidth="1"/>
    <col min="2" max="2" width="13.5" customWidth="1"/>
    <col min="3" max="3" width="14.375" customWidth="1"/>
    <col min="4" max="4" width="15.25" customWidth="1"/>
    <col min="5" max="5" width="10" customWidth="1"/>
    <col min="6" max="7" width="8.625" customWidth="1"/>
    <col min="8" max="8" width="11.875" customWidth="1"/>
    <col min="9" max="9" width="12.5" customWidth="1"/>
    <col min="10" max="30" width="8.625" customWidth="1"/>
  </cols>
  <sheetData>
    <row r="1" spans="1:19" ht="14.25" customHeight="1">
      <c r="G1" s="1"/>
      <c r="H1" s="1"/>
      <c r="J1" s="1"/>
      <c r="K1" s="2"/>
      <c r="L1" s="1"/>
      <c r="M1" s="1"/>
      <c r="N1" s="2"/>
      <c r="O1" s="1"/>
      <c r="P1" s="1"/>
    </row>
    <row r="2" spans="1:19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  <c r="Q2" s="5" t="s">
        <v>16</v>
      </c>
      <c r="R2" s="5" t="s">
        <v>17</v>
      </c>
      <c r="S2" s="8" t="s">
        <v>18</v>
      </c>
    </row>
    <row r="3" spans="1:19" ht="14.25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9">
        <v>1</v>
      </c>
      <c r="G3" s="3">
        <v>3</v>
      </c>
      <c r="H3" s="3">
        <v>0</v>
      </c>
      <c r="I3" s="3">
        <v>1</v>
      </c>
      <c r="J3" s="3">
        <v>2</v>
      </c>
      <c r="K3" s="3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f t="shared" ref="Q3:Q39" si="0">SUM(G3:P3)</f>
        <v>7</v>
      </c>
      <c r="R3" s="5">
        <f t="shared" ref="R3:R20" si="1">AVERAGE(G3:P3)</f>
        <v>0.7</v>
      </c>
      <c r="S3" s="8" t="s">
        <v>24</v>
      </c>
    </row>
    <row r="4" spans="1:19" ht="14.25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9">
        <v>2</v>
      </c>
      <c r="G4" s="3">
        <v>6</v>
      </c>
      <c r="H4" s="5">
        <v>0</v>
      </c>
      <c r="I4" s="3">
        <v>2</v>
      </c>
      <c r="J4" s="5">
        <v>0</v>
      </c>
      <c r="K4" s="3">
        <v>3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f t="shared" si="0"/>
        <v>11</v>
      </c>
      <c r="R4" s="5">
        <f t="shared" si="1"/>
        <v>1.1000000000000001</v>
      </c>
      <c r="S4" s="8" t="s">
        <v>24</v>
      </c>
    </row>
    <row r="5" spans="1:19" ht="14.25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9">
        <v>3</v>
      </c>
      <c r="G5" s="3">
        <v>5</v>
      </c>
      <c r="H5" s="3">
        <v>1</v>
      </c>
      <c r="I5" s="3">
        <v>3</v>
      </c>
      <c r="J5" s="3">
        <v>4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f t="shared" si="0"/>
        <v>13</v>
      </c>
      <c r="R5" s="5">
        <f t="shared" si="1"/>
        <v>1.3</v>
      </c>
      <c r="S5" s="8" t="s">
        <v>24</v>
      </c>
    </row>
    <row r="6" spans="1:19" ht="14.25" customHeight="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9">
        <v>4</v>
      </c>
      <c r="G6" s="3">
        <v>6</v>
      </c>
      <c r="H6" s="5">
        <v>0</v>
      </c>
      <c r="I6" s="3">
        <v>3</v>
      </c>
      <c r="J6" s="3">
        <v>4</v>
      </c>
      <c r="K6" s="5">
        <v>0</v>
      </c>
      <c r="L6" s="3">
        <v>1</v>
      </c>
      <c r="M6" s="5">
        <v>0</v>
      </c>
      <c r="N6" s="5">
        <v>0</v>
      </c>
      <c r="O6" s="5">
        <v>0</v>
      </c>
      <c r="P6" s="5">
        <v>0</v>
      </c>
      <c r="Q6" s="5">
        <f t="shared" si="0"/>
        <v>14</v>
      </c>
      <c r="R6" s="5">
        <f t="shared" si="1"/>
        <v>1.4</v>
      </c>
      <c r="S6" s="8" t="s">
        <v>24</v>
      </c>
    </row>
    <row r="7" spans="1:19" ht="14.25" customHeight="1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9">
        <v>5</v>
      </c>
      <c r="G7" s="3">
        <v>2</v>
      </c>
      <c r="H7" s="3">
        <v>2</v>
      </c>
      <c r="I7" s="3">
        <v>4</v>
      </c>
      <c r="J7" s="3">
        <v>3</v>
      </c>
      <c r="K7" s="3">
        <v>3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f t="shared" si="0"/>
        <v>14</v>
      </c>
      <c r="R7" s="5">
        <f t="shared" si="1"/>
        <v>1.4</v>
      </c>
      <c r="S7" s="8" t="s">
        <v>24</v>
      </c>
    </row>
    <row r="8" spans="1:19" ht="14.25" customHeight="1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9">
        <v>6</v>
      </c>
      <c r="G8" s="3">
        <v>1</v>
      </c>
      <c r="H8" s="5">
        <v>0</v>
      </c>
      <c r="I8" s="3">
        <v>2</v>
      </c>
      <c r="J8" s="3">
        <v>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f t="shared" si="0"/>
        <v>8</v>
      </c>
      <c r="R8" s="5">
        <f t="shared" si="1"/>
        <v>0.8</v>
      </c>
      <c r="S8" s="8" t="s">
        <v>24</v>
      </c>
    </row>
    <row r="9" spans="1:19" ht="14.25" customHeight="1">
      <c r="A9" s="3" t="s">
        <v>25</v>
      </c>
      <c r="B9" s="3" t="s">
        <v>26</v>
      </c>
      <c r="C9" s="3" t="s">
        <v>27</v>
      </c>
      <c r="D9" s="3" t="s">
        <v>28</v>
      </c>
      <c r="E9" s="3" t="s">
        <v>23</v>
      </c>
      <c r="F9" s="4">
        <v>1</v>
      </c>
      <c r="G9" s="5">
        <v>0</v>
      </c>
      <c r="H9" s="3">
        <v>2</v>
      </c>
      <c r="I9" s="3">
        <v>3</v>
      </c>
      <c r="J9" s="3">
        <v>7</v>
      </c>
      <c r="K9" s="3">
        <v>4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f t="shared" si="0"/>
        <v>16</v>
      </c>
      <c r="R9" s="5">
        <f t="shared" si="1"/>
        <v>1.6</v>
      </c>
      <c r="S9" s="8" t="s">
        <v>24</v>
      </c>
    </row>
    <row r="10" spans="1:19" ht="14.25" customHeight="1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23</v>
      </c>
      <c r="F10" s="4">
        <v>2</v>
      </c>
      <c r="G10" s="5">
        <v>0</v>
      </c>
      <c r="H10" s="3">
        <v>5</v>
      </c>
      <c r="I10" s="3">
        <v>4</v>
      </c>
      <c r="J10" s="3">
        <v>6</v>
      </c>
      <c r="K10" s="3">
        <v>5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f t="shared" si="0"/>
        <v>20</v>
      </c>
      <c r="R10" s="5">
        <f t="shared" si="1"/>
        <v>2</v>
      </c>
      <c r="S10" s="8" t="s">
        <v>24</v>
      </c>
    </row>
    <row r="11" spans="1:19" ht="14.25" customHeight="1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23</v>
      </c>
      <c r="F11" s="4">
        <v>3</v>
      </c>
      <c r="G11" s="5">
        <v>0</v>
      </c>
      <c r="H11" s="3">
        <v>3</v>
      </c>
      <c r="I11" s="3">
        <v>2</v>
      </c>
      <c r="J11" s="3">
        <v>6</v>
      </c>
      <c r="K11" s="5">
        <v>0</v>
      </c>
      <c r="L11" s="3">
        <v>1</v>
      </c>
      <c r="M11" s="5">
        <v>0</v>
      </c>
      <c r="N11" s="3">
        <v>0</v>
      </c>
      <c r="O11" s="5">
        <v>0</v>
      </c>
      <c r="P11" s="5">
        <v>0</v>
      </c>
      <c r="Q11" s="5">
        <f t="shared" si="0"/>
        <v>12</v>
      </c>
      <c r="R11" s="5">
        <f t="shared" si="1"/>
        <v>1.2</v>
      </c>
      <c r="S11" s="8" t="s">
        <v>24</v>
      </c>
    </row>
    <row r="12" spans="1:19" ht="14.25" customHeight="1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23</v>
      </c>
      <c r="F12" s="4">
        <v>4</v>
      </c>
      <c r="G12" s="3">
        <v>2</v>
      </c>
      <c r="H12" s="10">
        <v>0</v>
      </c>
      <c r="I12" s="3">
        <v>6</v>
      </c>
      <c r="J12" s="5">
        <v>0</v>
      </c>
      <c r="K12" s="5">
        <v>0</v>
      </c>
      <c r="L12" s="5">
        <v>0</v>
      </c>
      <c r="M12" s="3">
        <v>4</v>
      </c>
      <c r="N12" s="5">
        <v>0</v>
      </c>
      <c r="O12" s="5">
        <v>0</v>
      </c>
      <c r="P12" s="5">
        <v>0</v>
      </c>
      <c r="Q12" s="5">
        <f t="shared" si="0"/>
        <v>12</v>
      </c>
      <c r="R12" s="5">
        <f t="shared" si="1"/>
        <v>1.2</v>
      </c>
      <c r="S12" s="8" t="s">
        <v>24</v>
      </c>
    </row>
    <row r="13" spans="1:19" ht="14.25" customHeight="1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23</v>
      </c>
      <c r="F13" s="4">
        <v>5</v>
      </c>
      <c r="G13" s="3">
        <v>5</v>
      </c>
      <c r="H13" s="5">
        <v>0</v>
      </c>
      <c r="I13" s="3">
        <v>4</v>
      </c>
      <c r="J13" s="3">
        <v>4</v>
      </c>
      <c r="K13" s="3">
        <v>3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f t="shared" si="0"/>
        <v>16</v>
      </c>
      <c r="R13" s="5">
        <f t="shared" si="1"/>
        <v>1.6</v>
      </c>
      <c r="S13" s="8" t="s">
        <v>24</v>
      </c>
    </row>
    <row r="14" spans="1:19" ht="14.25" customHeight="1">
      <c r="A14" s="3" t="s">
        <v>25</v>
      </c>
      <c r="B14" s="3" t="s">
        <v>26</v>
      </c>
      <c r="C14" s="3" t="s">
        <v>27</v>
      </c>
      <c r="D14" s="3" t="s">
        <v>28</v>
      </c>
      <c r="E14" s="3" t="s">
        <v>23</v>
      </c>
      <c r="F14" s="4">
        <v>6</v>
      </c>
      <c r="G14" s="3">
        <v>8</v>
      </c>
      <c r="H14" s="5">
        <v>0</v>
      </c>
      <c r="I14" s="3">
        <v>10</v>
      </c>
      <c r="J14" s="3">
        <v>3</v>
      </c>
      <c r="K14" s="3">
        <v>3</v>
      </c>
      <c r="L14" s="5">
        <v>0</v>
      </c>
      <c r="M14" s="3">
        <v>2</v>
      </c>
      <c r="N14" s="5">
        <v>0</v>
      </c>
      <c r="O14" s="5">
        <v>0</v>
      </c>
      <c r="P14" s="5">
        <v>0</v>
      </c>
      <c r="Q14" s="5">
        <f t="shared" si="0"/>
        <v>26</v>
      </c>
      <c r="R14" s="5">
        <f t="shared" si="1"/>
        <v>2.6</v>
      </c>
      <c r="S14" s="8" t="s">
        <v>24</v>
      </c>
    </row>
    <row r="15" spans="1:19" ht="14.25" customHeight="1">
      <c r="A15" s="3" t="s">
        <v>25</v>
      </c>
      <c r="B15" s="3" t="s">
        <v>26</v>
      </c>
      <c r="C15" s="3" t="s">
        <v>29</v>
      </c>
      <c r="D15" s="3" t="s">
        <v>28</v>
      </c>
      <c r="E15" s="3" t="s">
        <v>23</v>
      </c>
      <c r="F15" s="4">
        <v>1</v>
      </c>
      <c r="G15" s="3">
        <v>16</v>
      </c>
      <c r="H15" s="3">
        <v>0</v>
      </c>
      <c r="I15" s="3">
        <v>8</v>
      </c>
      <c r="J15" s="5">
        <v>0</v>
      </c>
      <c r="K15" s="3">
        <v>5</v>
      </c>
      <c r="L15" s="5">
        <v>0</v>
      </c>
      <c r="M15" s="3">
        <v>6</v>
      </c>
      <c r="N15" s="5">
        <v>0</v>
      </c>
      <c r="O15" s="5">
        <v>0</v>
      </c>
      <c r="P15" s="5">
        <v>0</v>
      </c>
      <c r="Q15" s="5">
        <f t="shared" si="0"/>
        <v>35</v>
      </c>
      <c r="R15" s="5">
        <f t="shared" si="1"/>
        <v>3.5</v>
      </c>
      <c r="S15" s="8" t="s">
        <v>24</v>
      </c>
    </row>
    <row r="16" spans="1:19" ht="14.25" customHeight="1">
      <c r="A16" s="3" t="s">
        <v>25</v>
      </c>
      <c r="B16" s="3" t="s">
        <v>26</v>
      </c>
      <c r="C16" s="3" t="s">
        <v>29</v>
      </c>
      <c r="D16" s="3" t="s">
        <v>28</v>
      </c>
      <c r="E16" s="3" t="s">
        <v>23</v>
      </c>
      <c r="F16" s="4">
        <v>2</v>
      </c>
      <c r="G16" s="3">
        <v>24</v>
      </c>
      <c r="H16" s="3">
        <v>2</v>
      </c>
      <c r="I16" s="3">
        <v>12</v>
      </c>
      <c r="J16" s="3">
        <v>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f t="shared" si="0"/>
        <v>48</v>
      </c>
      <c r="R16" s="5">
        <f t="shared" si="1"/>
        <v>4.8</v>
      </c>
      <c r="S16" s="8" t="s">
        <v>24</v>
      </c>
    </row>
    <row r="17" spans="1:19" ht="14.25" customHeight="1">
      <c r="A17" s="3" t="s">
        <v>25</v>
      </c>
      <c r="B17" s="3" t="s">
        <v>26</v>
      </c>
      <c r="C17" s="3" t="s">
        <v>29</v>
      </c>
      <c r="D17" s="3" t="s">
        <v>28</v>
      </c>
      <c r="E17" s="3" t="s">
        <v>23</v>
      </c>
      <c r="F17" s="4">
        <v>3</v>
      </c>
      <c r="G17" s="3">
        <v>5</v>
      </c>
      <c r="H17" s="5">
        <v>0</v>
      </c>
      <c r="I17" s="5">
        <v>0</v>
      </c>
      <c r="J17" s="3">
        <v>8</v>
      </c>
      <c r="K17" s="5">
        <v>0</v>
      </c>
      <c r="L17" s="5">
        <v>0</v>
      </c>
      <c r="M17" s="5">
        <v>0</v>
      </c>
      <c r="N17" s="3">
        <v>2</v>
      </c>
      <c r="O17" s="5">
        <v>0</v>
      </c>
      <c r="P17" s="5">
        <v>0</v>
      </c>
      <c r="Q17" s="5">
        <f t="shared" si="0"/>
        <v>15</v>
      </c>
      <c r="R17" s="5">
        <f t="shared" si="1"/>
        <v>1.5</v>
      </c>
      <c r="S17" s="8" t="s">
        <v>24</v>
      </c>
    </row>
    <row r="18" spans="1:19" ht="14.25" customHeight="1">
      <c r="A18" s="3" t="s">
        <v>25</v>
      </c>
      <c r="B18" s="3" t="s">
        <v>26</v>
      </c>
      <c r="C18" s="3" t="s">
        <v>29</v>
      </c>
      <c r="D18" s="3" t="s">
        <v>28</v>
      </c>
      <c r="E18" s="3" t="s">
        <v>23</v>
      </c>
      <c r="F18" s="4">
        <v>4</v>
      </c>
      <c r="G18" s="3">
        <v>7</v>
      </c>
      <c r="H18" s="3">
        <v>3</v>
      </c>
      <c r="I18" s="3">
        <v>5</v>
      </c>
      <c r="J18" s="3">
        <v>9</v>
      </c>
      <c r="K18" s="5">
        <v>0</v>
      </c>
      <c r="L18" s="5">
        <v>0</v>
      </c>
      <c r="M18" s="3">
        <v>11</v>
      </c>
      <c r="N18" s="5">
        <v>0</v>
      </c>
      <c r="O18" s="5">
        <v>0</v>
      </c>
      <c r="P18" s="5">
        <v>0</v>
      </c>
      <c r="Q18" s="5">
        <f t="shared" si="0"/>
        <v>35</v>
      </c>
      <c r="R18" s="5">
        <f t="shared" si="1"/>
        <v>3.5</v>
      </c>
      <c r="S18" s="8" t="s">
        <v>24</v>
      </c>
    </row>
    <row r="19" spans="1:19" ht="14.25" customHeight="1">
      <c r="A19" s="3" t="s">
        <v>25</v>
      </c>
      <c r="B19" s="3" t="s">
        <v>26</v>
      </c>
      <c r="C19" s="3" t="s">
        <v>29</v>
      </c>
      <c r="D19" s="3" t="s">
        <v>28</v>
      </c>
      <c r="E19" s="3" t="s">
        <v>23</v>
      </c>
      <c r="F19" s="4">
        <v>5</v>
      </c>
      <c r="G19" s="3">
        <v>13</v>
      </c>
      <c r="H19" s="3">
        <v>1</v>
      </c>
      <c r="I19" s="3">
        <v>7</v>
      </c>
      <c r="J19" s="3">
        <v>5</v>
      </c>
      <c r="K19" s="3">
        <v>4</v>
      </c>
      <c r="L19" s="5">
        <v>0</v>
      </c>
      <c r="M19" s="3">
        <v>3</v>
      </c>
      <c r="N19" s="5">
        <v>0</v>
      </c>
      <c r="O19" s="5">
        <v>0</v>
      </c>
      <c r="P19" s="5">
        <v>0</v>
      </c>
      <c r="Q19" s="5">
        <f t="shared" si="0"/>
        <v>33</v>
      </c>
      <c r="R19" s="5">
        <f t="shared" si="1"/>
        <v>3.3</v>
      </c>
      <c r="S19" s="8" t="s">
        <v>24</v>
      </c>
    </row>
    <row r="20" spans="1:19" ht="14.25" customHeight="1">
      <c r="A20" s="3" t="s">
        <v>25</v>
      </c>
      <c r="B20" s="3" t="s">
        <v>26</v>
      </c>
      <c r="C20" s="3" t="s">
        <v>29</v>
      </c>
      <c r="D20" s="3" t="s">
        <v>28</v>
      </c>
      <c r="E20" s="3" t="s">
        <v>23</v>
      </c>
      <c r="F20" s="4">
        <v>6</v>
      </c>
      <c r="G20" s="3">
        <v>10</v>
      </c>
      <c r="H20" s="5">
        <v>0</v>
      </c>
      <c r="I20" s="3">
        <v>8</v>
      </c>
      <c r="J20" s="3">
        <v>14</v>
      </c>
      <c r="K20" s="3">
        <v>8</v>
      </c>
      <c r="L20" s="5">
        <v>0</v>
      </c>
      <c r="M20" s="3">
        <v>2</v>
      </c>
      <c r="N20" s="5">
        <v>0</v>
      </c>
      <c r="O20" s="5">
        <v>0</v>
      </c>
      <c r="P20" s="5">
        <v>0</v>
      </c>
      <c r="Q20" s="5">
        <f t="shared" si="0"/>
        <v>42</v>
      </c>
      <c r="R20" s="5">
        <f t="shared" si="1"/>
        <v>4.2</v>
      </c>
      <c r="S20" s="8" t="s">
        <v>24</v>
      </c>
    </row>
    <row r="21" spans="1:19" ht="14.25" customHeight="1">
      <c r="F21" s="11"/>
      <c r="G21" s="3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  <c r="R21" s="5"/>
      <c r="S21" s="8"/>
    </row>
    <row r="22" spans="1:19" ht="14.25" customHeight="1">
      <c r="A22" s="8" t="s">
        <v>30</v>
      </c>
      <c r="B22" s="8" t="s">
        <v>31</v>
      </c>
      <c r="C22" s="8" t="s">
        <v>32</v>
      </c>
      <c r="D22" s="8" t="s">
        <v>28</v>
      </c>
      <c r="E22" s="8" t="s">
        <v>33</v>
      </c>
      <c r="F22" s="12">
        <v>1</v>
      </c>
      <c r="G22" s="13">
        <v>3</v>
      </c>
      <c r="H22" s="13">
        <v>2</v>
      </c>
      <c r="I22" s="13">
        <v>7</v>
      </c>
      <c r="J22" s="13">
        <v>7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4">
        <v>0</v>
      </c>
      <c r="Q22" s="15">
        <f t="shared" si="0"/>
        <v>19</v>
      </c>
      <c r="R22" s="15">
        <f t="shared" ref="R22:R39" si="2">AVERAGE(G22:P22)</f>
        <v>1.9</v>
      </c>
      <c r="S22" s="8" t="s">
        <v>24</v>
      </c>
    </row>
    <row r="23" spans="1:19" ht="14.25" customHeight="1">
      <c r="A23" s="8" t="s">
        <v>34</v>
      </c>
      <c r="B23" s="8" t="s">
        <v>31</v>
      </c>
      <c r="C23" s="8" t="s">
        <v>32</v>
      </c>
      <c r="D23" s="8" t="s">
        <v>28</v>
      </c>
      <c r="E23" s="8" t="s">
        <v>33</v>
      </c>
      <c r="F23" s="12">
        <v>2</v>
      </c>
      <c r="G23" s="16">
        <v>2</v>
      </c>
      <c r="H23" s="16">
        <v>0</v>
      </c>
      <c r="I23" s="16">
        <v>4</v>
      </c>
      <c r="J23" s="13">
        <v>0</v>
      </c>
      <c r="K23" s="13">
        <v>0</v>
      </c>
      <c r="L23" s="13">
        <v>0</v>
      </c>
      <c r="M23" s="16">
        <v>0</v>
      </c>
      <c r="N23" s="16">
        <v>0</v>
      </c>
      <c r="O23" s="16">
        <v>0</v>
      </c>
      <c r="P23" s="14">
        <v>0</v>
      </c>
      <c r="Q23" s="15">
        <f t="shared" si="0"/>
        <v>6</v>
      </c>
      <c r="R23" s="15">
        <f t="shared" si="2"/>
        <v>0.6</v>
      </c>
      <c r="S23" s="8" t="s">
        <v>24</v>
      </c>
    </row>
    <row r="24" spans="1:19" ht="14.25" customHeight="1">
      <c r="A24" s="8" t="s">
        <v>35</v>
      </c>
      <c r="B24" s="8" t="s">
        <v>31</v>
      </c>
      <c r="C24" s="8" t="s">
        <v>32</v>
      </c>
      <c r="D24" s="8" t="s">
        <v>28</v>
      </c>
      <c r="E24" s="8" t="s">
        <v>33</v>
      </c>
      <c r="F24" s="12">
        <v>3</v>
      </c>
      <c r="G24" s="16">
        <v>4</v>
      </c>
      <c r="H24" s="16">
        <v>3</v>
      </c>
      <c r="I24" s="16">
        <v>3</v>
      </c>
      <c r="J24" s="16">
        <v>8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4">
        <v>0</v>
      </c>
      <c r="Q24" s="15">
        <f t="shared" si="0"/>
        <v>18</v>
      </c>
      <c r="R24" s="15">
        <f t="shared" si="2"/>
        <v>1.8</v>
      </c>
      <c r="S24" s="8" t="s">
        <v>24</v>
      </c>
    </row>
    <row r="25" spans="1:19" ht="14.25" customHeight="1">
      <c r="A25" s="8" t="s">
        <v>36</v>
      </c>
      <c r="B25" s="8" t="s">
        <v>31</v>
      </c>
      <c r="C25" s="8" t="s">
        <v>32</v>
      </c>
      <c r="D25" s="8" t="s">
        <v>28</v>
      </c>
      <c r="E25" s="8" t="s">
        <v>33</v>
      </c>
      <c r="F25" s="12">
        <v>4</v>
      </c>
      <c r="G25" s="16">
        <v>7</v>
      </c>
      <c r="H25" s="16">
        <v>7</v>
      </c>
      <c r="I25" s="16">
        <v>0</v>
      </c>
      <c r="J25" s="16">
        <v>6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4">
        <v>0</v>
      </c>
      <c r="Q25" s="15">
        <f t="shared" si="0"/>
        <v>21</v>
      </c>
      <c r="R25" s="15">
        <f t="shared" si="2"/>
        <v>2.1</v>
      </c>
      <c r="S25" s="8" t="s">
        <v>24</v>
      </c>
    </row>
    <row r="26" spans="1:19" ht="14.25" customHeight="1">
      <c r="A26" s="8" t="s">
        <v>37</v>
      </c>
      <c r="B26" s="8" t="s">
        <v>31</v>
      </c>
      <c r="C26" s="8" t="s">
        <v>32</v>
      </c>
      <c r="D26" s="8" t="s">
        <v>28</v>
      </c>
      <c r="E26" s="8" t="s">
        <v>33</v>
      </c>
      <c r="F26" s="12">
        <v>5</v>
      </c>
      <c r="G26" s="16">
        <v>2</v>
      </c>
      <c r="H26" s="16">
        <v>1</v>
      </c>
      <c r="I26" s="16">
        <v>2</v>
      </c>
      <c r="J26" s="16">
        <v>4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4">
        <v>0</v>
      </c>
      <c r="Q26" s="15">
        <f t="shared" si="0"/>
        <v>9</v>
      </c>
      <c r="R26" s="15">
        <f t="shared" si="2"/>
        <v>0.9</v>
      </c>
      <c r="S26" s="8" t="s">
        <v>24</v>
      </c>
    </row>
    <row r="27" spans="1:19" ht="14.25" customHeight="1">
      <c r="A27" s="8" t="s">
        <v>38</v>
      </c>
      <c r="B27" s="8" t="s">
        <v>31</v>
      </c>
      <c r="C27" s="8" t="s">
        <v>32</v>
      </c>
      <c r="D27" s="8" t="s">
        <v>28</v>
      </c>
      <c r="E27" s="8" t="s">
        <v>33</v>
      </c>
      <c r="F27" s="12">
        <v>6</v>
      </c>
      <c r="G27" s="16">
        <v>2</v>
      </c>
      <c r="H27" s="16">
        <v>8</v>
      </c>
      <c r="I27" s="16">
        <v>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4">
        <v>0</v>
      </c>
      <c r="Q27" s="15">
        <f t="shared" si="0"/>
        <v>15</v>
      </c>
      <c r="R27" s="15">
        <f t="shared" si="2"/>
        <v>1.5</v>
      </c>
      <c r="S27" s="8" t="s">
        <v>24</v>
      </c>
    </row>
    <row r="28" spans="1:19" ht="14.25" customHeight="1">
      <c r="A28" s="8" t="s">
        <v>39</v>
      </c>
      <c r="B28" s="8" t="s">
        <v>20</v>
      </c>
      <c r="C28" s="8" t="s">
        <v>40</v>
      </c>
      <c r="D28" s="8" t="s">
        <v>41</v>
      </c>
      <c r="E28" s="8" t="s">
        <v>42</v>
      </c>
      <c r="F28" s="12">
        <v>1</v>
      </c>
      <c r="G28" s="16">
        <v>4</v>
      </c>
      <c r="H28" s="16">
        <v>1</v>
      </c>
      <c r="I28" s="16">
        <v>3</v>
      </c>
      <c r="J28" s="16">
        <v>3</v>
      </c>
      <c r="K28" s="16">
        <v>1</v>
      </c>
      <c r="L28" s="16">
        <v>0</v>
      </c>
      <c r="M28" s="16">
        <v>1</v>
      </c>
      <c r="N28" s="16">
        <v>0</v>
      </c>
      <c r="O28" s="16">
        <v>0</v>
      </c>
      <c r="P28" s="14">
        <v>0</v>
      </c>
      <c r="Q28" s="15">
        <f t="shared" si="0"/>
        <v>13</v>
      </c>
      <c r="R28" s="15">
        <f t="shared" si="2"/>
        <v>1.3</v>
      </c>
      <c r="S28" s="8" t="s">
        <v>24</v>
      </c>
    </row>
    <row r="29" spans="1:19" ht="14.25" customHeight="1">
      <c r="A29" s="8" t="s">
        <v>43</v>
      </c>
      <c r="B29" s="8" t="s">
        <v>20</v>
      </c>
      <c r="C29" s="8" t="s">
        <v>40</v>
      </c>
      <c r="D29" s="8" t="s">
        <v>41</v>
      </c>
      <c r="E29" s="8" t="s">
        <v>42</v>
      </c>
      <c r="F29" s="12">
        <v>2</v>
      </c>
      <c r="G29" s="16">
        <v>2</v>
      </c>
      <c r="H29" s="16">
        <v>3</v>
      </c>
      <c r="I29" s="16">
        <v>0</v>
      </c>
      <c r="J29" s="16">
        <v>3</v>
      </c>
      <c r="K29" s="16">
        <v>2</v>
      </c>
      <c r="L29" s="16">
        <v>0</v>
      </c>
      <c r="M29" s="16">
        <v>0</v>
      </c>
      <c r="N29" s="16">
        <v>0</v>
      </c>
      <c r="O29" s="16">
        <v>0</v>
      </c>
      <c r="P29" s="14">
        <v>0</v>
      </c>
      <c r="Q29" s="15">
        <f t="shared" si="0"/>
        <v>10</v>
      </c>
      <c r="R29" s="15">
        <f t="shared" si="2"/>
        <v>1</v>
      </c>
      <c r="S29" s="8" t="s">
        <v>24</v>
      </c>
    </row>
    <row r="30" spans="1:19" ht="14.25" customHeight="1">
      <c r="A30" s="8" t="s">
        <v>44</v>
      </c>
      <c r="B30" s="8" t="s">
        <v>20</v>
      </c>
      <c r="C30" s="8" t="s">
        <v>40</v>
      </c>
      <c r="D30" s="8" t="s">
        <v>41</v>
      </c>
      <c r="E30" s="8" t="s">
        <v>42</v>
      </c>
      <c r="F30" s="12">
        <v>3</v>
      </c>
      <c r="G30" s="16">
        <v>5</v>
      </c>
      <c r="H30" s="16">
        <v>1</v>
      </c>
      <c r="I30" s="16">
        <v>3</v>
      </c>
      <c r="J30" s="16">
        <v>6</v>
      </c>
      <c r="K30" s="16">
        <v>4</v>
      </c>
      <c r="L30" s="16">
        <v>0</v>
      </c>
      <c r="M30" s="16">
        <v>3</v>
      </c>
      <c r="N30" s="16">
        <v>0</v>
      </c>
      <c r="O30" s="16">
        <v>0</v>
      </c>
      <c r="P30" s="14">
        <v>0</v>
      </c>
      <c r="Q30" s="15">
        <f t="shared" si="0"/>
        <v>22</v>
      </c>
      <c r="R30" s="15">
        <f t="shared" si="2"/>
        <v>2.2000000000000002</v>
      </c>
      <c r="S30" s="8" t="s">
        <v>24</v>
      </c>
    </row>
    <row r="31" spans="1:19" ht="14.25" customHeight="1">
      <c r="A31" s="8" t="s">
        <v>45</v>
      </c>
      <c r="B31" s="8" t="s">
        <v>20</v>
      </c>
      <c r="C31" s="8" t="s">
        <v>40</v>
      </c>
      <c r="D31" s="8" t="s">
        <v>41</v>
      </c>
      <c r="E31" s="8" t="s">
        <v>42</v>
      </c>
      <c r="F31" s="12">
        <v>4</v>
      </c>
      <c r="G31" s="16">
        <v>6</v>
      </c>
      <c r="H31" s="16">
        <v>0</v>
      </c>
      <c r="I31" s="16">
        <v>1</v>
      </c>
      <c r="J31" s="16">
        <v>7</v>
      </c>
      <c r="K31" s="16">
        <v>0</v>
      </c>
      <c r="L31" s="16">
        <v>0</v>
      </c>
      <c r="M31" s="16">
        <v>2</v>
      </c>
      <c r="N31" s="16">
        <v>0</v>
      </c>
      <c r="O31" s="16">
        <v>0</v>
      </c>
      <c r="P31" s="14">
        <v>0</v>
      </c>
      <c r="Q31" s="15">
        <f t="shared" si="0"/>
        <v>16</v>
      </c>
      <c r="R31" s="15">
        <f t="shared" si="2"/>
        <v>1.6</v>
      </c>
      <c r="S31" s="8" t="s">
        <v>24</v>
      </c>
    </row>
    <row r="32" spans="1:19" ht="14.25" customHeight="1">
      <c r="A32" s="8" t="s">
        <v>46</v>
      </c>
      <c r="B32" s="8" t="s">
        <v>20</v>
      </c>
      <c r="C32" s="8" t="s">
        <v>40</v>
      </c>
      <c r="D32" s="8" t="s">
        <v>41</v>
      </c>
      <c r="E32" s="8" t="s">
        <v>42</v>
      </c>
      <c r="F32" s="12">
        <v>5</v>
      </c>
      <c r="G32" s="16">
        <v>2</v>
      </c>
      <c r="H32" s="16">
        <v>3</v>
      </c>
      <c r="I32" s="16">
        <v>2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4">
        <v>0</v>
      </c>
      <c r="Q32" s="15">
        <f t="shared" si="0"/>
        <v>8</v>
      </c>
      <c r="R32" s="15">
        <f t="shared" si="2"/>
        <v>0.8</v>
      </c>
      <c r="S32" s="8" t="s">
        <v>24</v>
      </c>
    </row>
    <row r="33" spans="1:19" ht="14.25" customHeight="1">
      <c r="A33" s="8" t="s">
        <v>47</v>
      </c>
      <c r="B33" s="8" t="s">
        <v>20</v>
      </c>
      <c r="C33" s="8" t="s">
        <v>40</v>
      </c>
      <c r="D33" s="8" t="s">
        <v>41</v>
      </c>
      <c r="E33" s="8" t="s">
        <v>42</v>
      </c>
      <c r="F33" s="12">
        <v>6</v>
      </c>
      <c r="G33" s="16">
        <v>0</v>
      </c>
      <c r="H33" s="16">
        <v>2</v>
      </c>
      <c r="I33" s="16">
        <v>3</v>
      </c>
      <c r="J33" s="16">
        <v>0</v>
      </c>
      <c r="K33" s="16">
        <v>2</v>
      </c>
      <c r="L33" s="16">
        <v>0</v>
      </c>
      <c r="M33" s="16">
        <v>0</v>
      </c>
      <c r="N33" s="16">
        <v>0</v>
      </c>
      <c r="O33" s="16">
        <v>0</v>
      </c>
      <c r="P33" s="14">
        <v>0</v>
      </c>
      <c r="Q33" s="15">
        <f t="shared" si="0"/>
        <v>7</v>
      </c>
      <c r="R33" s="15">
        <f t="shared" si="2"/>
        <v>0.7</v>
      </c>
      <c r="S33" s="8" t="s">
        <v>24</v>
      </c>
    </row>
    <row r="34" spans="1:19" ht="14.25" customHeight="1">
      <c r="A34" s="8" t="s">
        <v>48</v>
      </c>
      <c r="B34" s="8" t="s">
        <v>20</v>
      </c>
      <c r="C34" s="8" t="s">
        <v>49</v>
      </c>
      <c r="D34" s="8" t="s">
        <v>41</v>
      </c>
      <c r="E34" s="8" t="s">
        <v>42</v>
      </c>
      <c r="F34" s="12">
        <v>1</v>
      </c>
      <c r="G34" s="16">
        <v>2</v>
      </c>
      <c r="H34" s="16">
        <v>1</v>
      </c>
      <c r="I34" s="16">
        <v>4</v>
      </c>
      <c r="J34" s="16">
        <v>0</v>
      </c>
      <c r="K34" s="16">
        <v>2</v>
      </c>
      <c r="L34" s="16">
        <v>0</v>
      </c>
      <c r="M34" s="16">
        <v>1</v>
      </c>
      <c r="N34" s="16">
        <v>0</v>
      </c>
      <c r="O34" s="16">
        <v>0</v>
      </c>
      <c r="P34" s="14">
        <v>0</v>
      </c>
      <c r="Q34" s="15">
        <f t="shared" si="0"/>
        <v>10</v>
      </c>
      <c r="R34" s="15">
        <f t="shared" si="2"/>
        <v>1</v>
      </c>
      <c r="S34" s="8" t="s">
        <v>24</v>
      </c>
    </row>
    <row r="35" spans="1:19" ht="14.25" customHeight="1">
      <c r="A35" s="8" t="s">
        <v>50</v>
      </c>
      <c r="B35" s="8" t="s">
        <v>20</v>
      </c>
      <c r="C35" s="8" t="s">
        <v>49</v>
      </c>
      <c r="D35" s="8" t="s">
        <v>41</v>
      </c>
      <c r="E35" s="8" t="s">
        <v>42</v>
      </c>
      <c r="F35" s="12">
        <v>2</v>
      </c>
      <c r="G35" s="16">
        <v>0</v>
      </c>
      <c r="H35" s="16">
        <v>0</v>
      </c>
      <c r="I35" s="16">
        <v>3</v>
      </c>
      <c r="J35" s="16">
        <v>2</v>
      </c>
      <c r="K35" s="16">
        <v>0</v>
      </c>
      <c r="L35" s="16">
        <v>0</v>
      </c>
      <c r="M35" s="16">
        <v>2</v>
      </c>
      <c r="N35" s="16">
        <v>0</v>
      </c>
      <c r="O35" s="16">
        <v>0</v>
      </c>
      <c r="P35" s="14">
        <v>0</v>
      </c>
      <c r="Q35" s="15">
        <f t="shared" si="0"/>
        <v>7</v>
      </c>
      <c r="R35" s="15">
        <f t="shared" si="2"/>
        <v>0.7</v>
      </c>
      <c r="S35" s="8" t="s">
        <v>24</v>
      </c>
    </row>
    <row r="36" spans="1:19" ht="14.25" customHeight="1">
      <c r="A36" s="8" t="s">
        <v>51</v>
      </c>
      <c r="B36" s="8" t="s">
        <v>20</v>
      </c>
      <c r="C36" s="8" t="s">
        <v>49</v>
      </c>
      <c r="D36" s="8" t="s">
        <v>41</v>
      </c>
      <c r="E36" s="8" t="s">
        <v>42</v>
      </c>
      <c r="F36" s="12">
        <v>3</v>
      </c>
      <c r="G36" s="16">
        <v>0</v>
      </c>
      <c r="H36" s="16">
        <v>0</v>
      </c>
      <c r="I36" s="16">
        <v>4</v>
      </c>
      <c r="J36" s="16">
        <v>1</v>
      </c>
      <c r="K36" s="16">
        <v>4</v>
      </c>
      <c r="L36" s="16">
        <v>0</v>
      </c>
      <c r="M36" s="16">
        <v>0</v>
      </c>
      <c r="N36" s="16">
        <v>0</v>
      </c>
      <c r="O36" s="16">
        <v>0</v>
      </c>
      <c r="P36" s="14">
        <v>0</v>
      </c>
      <c r="Q36" s="15">
        <f t="shared" si="0"/>
        <v>9</v>
      </c>
      <c r="R36" s="15">
        <f t="shared" si="2"/>
        <v>0.9</v>
      </c>
      <c r="S36" s="8" t="s">
        <v>24</v>
      </c>
    </row>
    <row r="37" spans="1:19" ht="14.25" customHeight="1">
      <c r="A37" s="8" t="s">
        <v>52</v>
      </c>
      <c r="B37" s="8" t="s">
        <v>20</v>
      </c>
      <c r="C37" s="8" t="s">
        <v>49</v>
      </c>
      <c r="D37" s="8" t="s">
        <v>41</v>
      </c>
      <c r="E37" s="8" t="s">
        <v>42</v>
      </c>
      <c r="F37" s="12">
        <v>4</v>
      </c>
      <c r="G37" s="16">
        <v>3</v>
      </c>
      <c r="H37" s="16">
        <v>3</v>
      </c>
      <c r="I37" s="16">
        <v>4</v>
      </c>
      <c r="J37" s="16">
        <v>0</v>
      </c>
      <c r="K37" s="16">
        <v>0</v>
      </c>
      <c r="L37" s="16">
        <v>0</v>
      </c>
      <c r="M37" s="16">
        <v>6</v>
      </c>
      <c r="N37" s="16">
        <v>0</v>
      </c>
      <c r="O37" s="16">
        <v>0</v>
      </c>
      <c r="P37" s="14">
        <v>0</v>
      </c>
      <c r="Q37" s="15">
        <f t="shared" si="0"/>
        <v>16</v>
      </c>
      <c r="R37" s="15">
        <f t="shared" si="2"/>
        <v>1.6</v>
      </c>
      <c r="S37" s="8" t="s">
        <v>24</v>
      </c>
    </row>
    <row r="38" spans="1:19" ht="14.25" customHeight="1">
      <c r="A38" s="8" t="s">
        <v>53</v>
      </c>
      <c r="B38" s="8" t="s">
        <v>20</v>
      </c>
      <c r="C38" s="8" t="s">
        <v>49</v>
      </c>
      <c r="D38" s="8" t="s">
        <v>41</v>
      </c>
      <c r="E38" s="8" t="s">
        <v>42</v>
      </c>
      <c r="F38" s="12">
        <v>5</v>
      </c>
      <c r="G38" s="16">
        <v>2</v>
      </c>
      <c r="H38" s="16">
        <v>6</v>
      </c>
      <c r="I38" s="16">
        <v>2</v>
      </c>
      <c r="J38" s="16">
        <v>2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4">
        <v>0</v>
      </c>
      <c r="Q38" s="15">
        <f t="shared" si="0"/>
        <v>12</v>
      </c>
      <c r="R38" s="15">
        <f t="shared" si="2"/>
        <v>1.2</v>
      </c>
      <c r="S38" s="8" t="s">
        <v>24</v>
      </c>
    </row>
    <row r="39" spans="1:19" ht="14.25" customHeight="1">
      <c r="A39" s="8" t="s">
        <v>54</v>
      </c>
      <c r="B39" s="8" t="s">
        <v>20</v>
      </c>
      <c r="C39" s="8" t="s">
        <v>49</v>
      </c>
      <c r="D39" s="8" t="s">
        <v>41</v>
      </c>
      <c r="E39" s="8" t="s">
        <v>42</v>
      </c>
      <c r="F39" s="12">
        <v>6</v>
      </c>
      <c r="G39" s="16">
        <v>8</v>
      </c>
      <c r="H39" s="16">
        <v>1</v>
      </c>
      <c r="I39" s="16">
        <v>0</v>
      </c>
      <c r="J39" s="16">
        <v>4</v>
      </c>
      <c r="K39" s="16">
        <v>1</v>
      </c>
      <c r="L39" s="16">
        <v>0</v>
      </c>
      <c r="M39" s="16">
        <v>3</v>
      </c>
      <c r="N39" s="16">
        <v>0</v>
      </c>
      <c r="O39" s="16">
        <v>0</v>
      </c>
      <c r="P39" s="14">
        <v>0</v>
      </c>
      <c r="Q39" s="15">
        <f t="shared" si="0"/>
        <v>17</v>
      </c>
      <c r="R39" s="15">
        <f t="shared" si="2"/>
        <v>1.7</v>
      </c>
      <c r="S39" s="8" t="s">
        <v>24</v>
      </c>
    </row>
    <row r="40" spans="1:19" ht="14.25" customHeight="1">
      <c r="A40" s="8"/>
      <c r="B40" s="8"/>
      <c r="C40" s="8"/>
      <c r="D40" s="8"/>
      <c r="E40" s="8"/>
      <c r="G40" s="15"/>
      <c r="H40" s="15"/>
      <c r="I40" s="15"/>
      <c r="J40" s="15"/>
      <c r="K40" s="15"/>
      <c r="L40" s="15"/>
      <c r="M40" s="15"/>
      <c r="N40" s="15"/>
      <c r="O40" s="15"/>
      <c r="P40" s="14"/>
      <c r="Q40" s="5"/>
      <c r="R40" s="5"/>
      <c r="S40" s="8"/>
    </row>
    <row r="41" spans="1:19" ht="14.25" customHeight="1">
      <c r="A41" s="8" t="s">
        <v>55</v>
      </c>
      <c r="B41" s="8" t="s">
        <v>20</v>
      </c>
      <c r="C41" s="8" t="s">
        <v>56</v>
      </c>
      <c r="D41" s="8" t="s">
        <v>41</v>
      </c>
      <c r="E41" s="8" t="s">
        <v>42</v>
      </c>
      <c r="F41" s="8">
        <v>1</v>
      </c>
      <c r="G41" s="13">
        <v>35</v>
      </c>
      <c r="H41" s="13">
        <v>3</v>
      </c>
      <c r="I41" s="13">
        <v>5</v>
      </c>
      <c r="J41" s="13">
        <v>2</v>
      </c>
      <c r="K41" s="13">
        <v>1</v>
      </c>
      <c r="L41" s="13">
        <v>0</v>
      </c>
      <c r="M41" s="13">
        <v>2</v>
      </c>
      <c r="N41" s="13">
        <v>0</v>
      </c>
      <c r="O41" s="13">
        <v>0</v>
      </c>
      <c r="P41" s="14">
        <v>0</v>
      </c>
      <c r="Q41" s="15">
        <f t="shared" ref="Q41:Q52" si="3">SUM(G41:P41)</f>
        <v>48</v>
      </c>
      <c r="R41" s="15">
        <f t="shared" ref="R41:R52" si="4">AVERAGE(G41:P41)</f>
        <v>4.8</v>
      </c>
      <c r="S41" s="8" t="s">
        <v>24</v>
      </c>
    </row>
    <row r="42" spans="1:19" ht="14.25" customHeight="1">
      <c r="A42" s="8" t="s">
        <v>57</v>
      </c>
      <c r="B42" s="8" t="s">
        <v>20</v>
      </c>
      <c r="C42" s="8" t="s">
        <v>56</v>
      </c>
      <c r="D42" s="8" t="s">
        <v>41</v>
      </c>
      <c r="E42" s="8" t="s">
        <v>42</v>
      </c>
      <c r="F42" s="8">
        <v>2</v>
      </c>
      <c r="G42" s="13">
        <v>4</v>
      </c>
      <c r="H42" s="13">
        <v>5</v>
      </c>
      <c r="I42" s="13">
        <v>8</v>
      </c>
      <c r="J42" s="13">
        <v>2</v>
      </c>
      <c r="K42" s="13">
        <v>3</v>
      </c>
      <c r="L42" s="13">
        <v>1</v>
      </c>
      <c r="M42" s="13">
        <v>0</v>
      </c>
      <c r="N42" s="13">
        <v>0</v>
      </c>
      <c r="O42" s="13">
        <v>0</v>
      </c>
      <c r="P42" s="14">
        <v>0</v>
      </c>
      <c r="Q42" s="15">
        <f t="shared" si="3"/>
        <v>23</v>
      </c>
      <c r="R42" s="15">
        <f t="shared" si="4"/>
        <v>2.2999999999999998</v>
      </c>
      <c r="S42" s="8" t="s">
        <v>24</v>
      </c>
    </row>
    <row r="43" spans="1:19" ht="14.25" customHeight="1">
      <c r="A43" s="8" t="s">
        <v>58</v>
      </c>
      <c r="B43" s="8" t="s">
        <v>20</v>
      </c>
      <c r="C43" s="8" t="s">
        <v>56</v>
      </c>
      <c r="D43" s="8" t="s">
        <v>41</v>
      </c>
      <c r="E43" s="8" t="s">
        <v>42</v>
      </c>
      <c r="F43" s="8">
        <v>3</v>
      </c>
      <c r="G43" s="13">
        <v>3</v>
      </c>
      <c r="H43" s="13">
        <v>8</v>
      </c>
      <c r="I43" s="13">
        <v>3</v>
      </c>
      <c r="J43" s="13">
        <v>4</v>
      </c>
      <c r="K43" s="13">
        <v>4</v>
      </c>
      <c r="L43" s="13">
        <v>0</v>
      </c>
      <c r="M43" s="13">
        <v>4</v>
      </c>
      <c r="N43" s="13">
        <v>0</v>
      </c>
      <c r="O43" s="13">
        <v>0</v>
      </c>
      <c r="P43" s="14">
        <v>0</v>
      </c>
      <c r="Q43" s="15">
        <f t="shared" si="3"/>
        <v>26</v>
      </c>
      <c r="R43" s="15">
        <f t="shared" si="4"/>
        <v>2.6</v>
      </c>
      <c r="S43" s="8" t="s">
        <v>24</v>
      </c>
    </row>
    <row r="44" spans="1:19" ht="14.25" customHeight="1">
      <c r="A44" s="8" t="s">
        <v>59</v>
      </c>
      <c r="B44" s="8" t="s">
        <v>20</v>
      </c>
      <c r="C44" s="8" t="s">
        <v>56</v>
      </c>
      <c r="D44" s="8" t="s">
        <v>41</v>
      </c>
      <c r="E44" s="8" t="s">
        <v>42</v>
      </c>
      <c r="F44" s="8">
        <v>4</v>
      </c>
      <c r="G44" s="13">
        <v>6</v>
      </c>
      <c r="H44" s="13">
        <v>3</v>
      </c>
      <c r="I44" s="13">
        <v>7</v>
      </c>
      <c r="J44" s="13">
        <v>6</v>
      </c>
      <c r="K44" s="13">
        <v>5</v>
      </c>
      <c r="L44" s="13">
        <v>0</v>
      </c>
      <c r="M44" s="13">
        <v>3</v>
      </c>
      <c r="N44" s="13">
        <v>0</v>
      </c>
      <c r="O44" s="13">
        <v>0</v>
      </c>
      <c r="P44" s="14">
        <v>0</v>
      </c>
      <c r="Q44" s="15">
        <f t="shared" si="3"/>
        <v>30</v>
      </c>
      <c r="R44" s="15">
        <f t="shared" si="4"/>
        <v>3</v>
      </c>
      <c r="S44" s="8" t="s">
        <v>24</v>
      </c>
    </row>
    <row r="45" spans="1:19" ht="14.25" customHeight="1">
      <c r="A45" s="8" t="s">
        <v>60</v>
      </c>
      <c r="B45" s="8" t="s">
        <v>20</v>
      </c>
      <c r="C45" s="8" t="s">
        <v>56</v>
      </c>
      <c r="D45" s="8" t="s">
        <v>41</v>
      </c>
      <c r="E45" s="8" t="s">
        <v>42</v>
      </c>
      <c r="F45" s="8">
        <v>5</v>
      </c>
      <c r="G45" s="13">
        <v>4</v>
      </c>
      <c r="H45" s="13">
        <v>0</v>
      </c>
      <c r="I45" s="13">
        <v>5</v>
      </c>
      <c r="J45" s="13">
        <v>0</v>
      </c>
      <c r="K45" s="13">
        <v>6</v>
      </c>
      <c r="L45" s="13">
        <v>0</v>
      </c>
      <c r="M45" s="13">
        <v>0</v>
      </c>
      <c r="N45" s="13">
        <v>0</v>
      </c>
      <c r="O45" s="13">
        <v>0</v>
      </c>
      <c r="P45" s="14">
        <v>0</v>
      </c>
      <c r="Q45" s="15">
        <f t="shared" si="3"/>
        <v>15</v>
      </c>
      <c r="R45" s="15">
        <f t="shared" si="4"/>
        <v>1.5</v>
      </c>
      <c r="S45" s="8" t="s">
        <v>24</v>
      </c>
    </row>
    <row r="46" spans="1:19" ht="14.25" customHeight="1">
      <c r="A46" s="8" t="s">
        <v>61</v>
      </c>
      <c r="B46" s="8" t="s">
        <v>20</v>
      </c>
      <c r="C46" s="8" t="s">
        <v>56</v>
      </c>
      <c r="D46" s="8" t="s">
        <v>41</v>
      </c>
      <c r="E46" s="8" t="s">
        <v>42</v>
      </c>
      <c r="F46" s="8">
        <v>6</v>
      </c>
      <c r="G46" s="13">
        <v>19</v>
      </c>
      <c r="H46" s="13">
        <v>3</v>
      </c>
      <c r="I46" s="13">
        <v>9</v>
      </c>
      <c r="J46" s="13">
        <v>5</v>
      </c>
      <c r="K46" s="13">
        <v>0</v>
      </c>
      <c r="L46" s="13">
        <v>0</v>
      </c>
      <c r="M46" s="13">
        <v>0</v>
      </c>
      <c r="N46" s="13">
        <v>1</v>
      </c>
      <c r="O46" s="13">
        <v>0</v>
      </c>
      <c r="P46" s="14">
        <v>0</v>
      </c>
      <c r="Q46" s="15">
        <f t="shared" si="3"/>
        <v>37</v>
      </c>
      <c r="R46" s="15">
        <f t="shared" si="4"/>
        <v>3.7</v>
      </c>
      <c r="S46" s="8" t="s">
        <v>24</v>
      </c>
    </row>
    <row r="47" spans="1:19" ht="14.25" customHeight="1">
      <c r="A47" s="8" t="s">
        <v>62</v>
      </c>
      <c r="B47" s="8" t="s">
        <v>20</v>
      </c>
      <c r="C47" s="8" t="s">
        <v>63</v>
      </c>
      <c r="D47" s="8" t="s">
        <v>41</v>
      </c>
      <c r="E47" s="8" t="s">
        <v>42</v>
      </c>
      <c r="F47" s="8">
        <v>1</v>
      </c>
      <c r="G47" s="13">
        <v>5</v>
      </c>
      <c r="H47" s="13">
        <v>3</v>
      </c>
      <c r="I47" s="13">
        <v>3</v>
      </c>
      <c r="J47" s="13">
        <v>0</v>
      </c>
      <c r="K47" s="13">
        <v>4</v>
      </c>
      <c r="L47" s="13">
        <v>0</v>
      </c>
      <c r="M47" s="13">
        <v>0</v>
      </c>
      <c r="N47" s="13">
        <v>0</v>
      </c>
      <c r="O47" s="13">
        <v>0</v>
      </c>
      <c r="P47" s="14">
        <v>0</v>
      </c>
      <c r="Q47" s="15">
        <f t="shared" si="3"/>
        <v>15</v>
      </c>
      <c r="R47" s="15">
        <f t="shared" si="4"/>
        <v>1.5</v>
      </c>
      <c r="S47" s="8" t="s">
        <v>24</v>
      </c>
    </row>
    <row r="48" spans="1:19" ht="14.25" customHeight="1">
      <c r="A48" s="8" t="s">
        <v>64</v>
      </c>
      <c r="B48" s="8" t="s">
        <v>20</v>
      </c>
      <c r="C48" s="8" t="s">
        <v>63</v>
      </c>
      <c r="D48" s="8" t="s">
        <v>41</v>
      </c>
      <c r="E48" s="8" t="s">
        <v>42</v>
      </c>
      <c r="F48" s="8">
        <v>2</v>
      </c>
      <c r="G48" s="13">
        <v>2</v>
      </c>
      <c r="H48" s="13">
        <v>0</v>
      </c>
      <c r="I48" s="13">
        <v>2</v>
      </c>
      <c r="J48" s="13">
        <v>0</v>
      </c>
      <c r="K48" s="13">
        <v>5</v>
      </c>
      <c r="L48" s="13">
        <v>0</v>
      </c>
      <c r="M48" s="13">
        <v>0</v>
      </c>
      <c r="N48" s="13">
        <v>0</v>
      </c>
      <c r="O48" s="13">
        <v>0</v>
      </c>
      <c r="P48" s="14">
        <v>0</v>
      </c>
      <c r="Q48" s="15">
        <f t="shared" si="3"/>
        <v>9</v>
      </c>
      <c r="R48" s="15">
        <f t="shared" si="4"/>
        <v>0.9</v>
      </c>
      <c r="S48" s="8" t="s">
        <v>24</v>
      </c>
    </row>
    <row r="49" spans="1:19" ht="14.25" customHeight="1">
      <c r="A49" s="8" t="s">
        <v>65</v>
      </c>
      <c r="B49" s="8" t="s">
        <v>20</v>
      </c>
      <c r="C49" s="8" t="s">
        <v>63</v>
      </c>
      <c r="D49" s="8" t="s">
        <v>41</v>
      </c>
      <c r="E49" s="8" t="s">
        <v>42</v>
      </c>
      <c r="F49" s="8">
        <v>3</v>
      </c>
      <c r="G49" s="13">
        <v>0</v>
      </c>
      <c r="H49" s="13">
        <v>3</v>
      </c>
      <c r="I49" s="13">
        <v>2</v>
      </c>
      <c r="J49" s="13">
        <v>8</v>
      </c>
      <c r="K49" s="13">
        <v>4</v>
      </c>
      <c r="L49" s="13">
        <v>0</v>
      </c>
      <c r="M49" s="13">
        <v>2</v>
      </c>
      <c r="N49" s="13">
        <v>0</v>
      </c>
      <c r="O49" s="13">
        <v>0</v>
      </c>
      <c r="P49" s="14">
        <v>0</v>
      </c>
      <c r="Q49" s="15">
        <f t="shared" si="3"/>
        <v>19</v>
      </c>
      <c r="R49" s="15">
        <f t="shared" si="4"/>
        <v>1.9</v>
      </c>
      <c r="S49" s="8" t="s">
        <v>24</v>
      </c>
    </row>
    <row r="50" spans="1:19" ht="14.25" customHeight="1">
      <c r="A50" s="8" t="s">
        <v>66</v>
      </c>
      <c r="B50" s="8" t="s">
        <v>20</v>
      </c>
      <c r="C50" s="8" t="s">
        <v>63</v>
      </c>
      <c r="D50" s="8" t="s">
        <v>41</v>
      </c>
      <c r="E50" s="8" t="s">
        <v>42</v>
      </c>
      <c r="F50" s="8">
        <v>4</v>
      </c>
      <c r="G50" s="13">
        <v>2</v>
      </c>
      <c r="H50" s="13">
        <v>2</v>
      </c>
      <c r="I50" s="13">
        <v>5</v>
      </c>
      <c r="J50" s="13">
        <v>6</v>
      </c>
      <c r="K50" s="13">
        <v>1</v>
      </c>
      <c r="L50" s="13">
        <v>1</v>
      </c>
      <c r="M50" s="13">
        <v>0</v>
      </c>
      <c r="N50" s="13">
        <v>0</v>
      </c>
      <c r="O50" s="13">
        <v>0</v>
      </c>
      <c r="P50" s="14">
        <v>0</v>
      </c>
      <c r="Q50" s="15">
        <f t="shared" si="3"/>
        <v>17</v>
      </c>
      <c r="R50" s="15">
        <f t="shared" si="4"/>
        <v>1.7</v>
      </c>
      <c r="S50" s="8" t="s">
        <v>24</v>
      </c>
    </row>
    <row r="51" spans="1:19" ht="14.25" customHeight="1">
      <c r="A51" s="8" t="s">
        <v>67</v>
      </c>
      <c r="B51" s="8" t="s">
        <v>20</v>
      </c>
      <c r="C51" s="8" t="s">
        <v>63</v>
      </c>
      <c r="D51" s="8" t="s">
        <v>41</v>
      </c>
      <c r="E51" s="8" t="s">
        <v>42</v>
      </c>
      <c r="F51" s="8">
        <v>5</v>
      </c>
      <c r="G51" s="13">
        <v>0</v>
      </c>
      <c r="H51" s="13">
        <v>3</v>
      </c>
      <c r="I51" s="13">
        <v>3</v>
      </c>
      <c r="J51" s="13">
        <v>7</v>
      </c>
      <c r="K51" s="13">
        <v>3</v>
      </c>
      <c r="L51" s="13">
        <v>0</v>
      </c>
      <c r="M51" s="13">
        <v>1</v>
      </c>
      <c r="N51" s="13">
        <v>0</v>
      </c>
      <c r="O51" s="13">
        <v>0</v>
      </c>
      <c r="P51" s="14">
        <v>0</v>
      </c>
      <c r="Q51" s="15">
        <f t="shared" si="3"/>
        <v>17</v>
      </c>
      <c r="R51" s="15">
        <f t="shared" si="4"/>
        <v>1.7</v>
      </c>
      <c r="S51" s="8" t="s">
        <v>24</v>
      </c>
    </row>
    <row r="52" spans="1:19" ht="14.25" customHeight="1">
      <c r="A52" s="8" t="s">
        <v>68</v>
      </c>
      <c r="B52" s="8" t="s">
        <v>20</v>
      </c>
      <c r="C52" s="8" t="s">
        <v>63</v>
      </c>
      <c r="D52" s="8" t="s">
        <v>41</v>
      </c>
      <c r="E52" s="8" t="s">
        <v>42</v>
      </c>
      <c r="F52" s="8">
        <v>6</v>
      </c>
      <c r="G52" s="13">
        <v>4</v>
      </c>
      <c r="H52" s="13">
        <v>0</v>
      </c>
      <c r="I52" s="13">
        <v>6</v>
      </c>
      <c r="J52" s="13">
        <v>2</v>
      </c>
      <c r="K52" s="13">
        <v>3</v>
      </c>
      <c r="L52" s="13">
        <v>0</v>
      </c>
      <c r="M52" s="13">
        <v>0</v>
      </c>
      <c r="N52" s="13">
        <v>0</v>
      </c>
      <c r="O52" s="13">
        <v>0</v>
      </c>
      <c r="P52" s="14">
        <v>0</v>
      </c>
      <c r="Q52" s="15">
        <f t="shared" si="3"/>
        <v>15</v>
      </c>
      <c r="R52" s="15">
        <f t="shared" si="4"/>
        <v>1.5</v>
      </c>
      <c r="S52" s="8" t="s">
        <v>24</v>
      </c>
    </row>
    <row r="53" spans="1:19" ht="14.25" customHeight="1"/>
    <row r="54" spans="1:19" ht="14.25" customHeight="1"/>
    <row r="55" spans="1:19" ht="14.25" customHeight="1"/>
    <row r="56" spans="1:19" ht="14.25" customHeight="1"/>
    <row r="57" spans="1:19" ht="14.25" customHeight="1"/>
    <row r="58" spans="1:19" ht="14.25" customHeight="1"/>
    <row r="59" spans="1:19" ht="14.25" customHeight="1"/>
    <row r="60" spans="1:19" ht="14.25" customHeight="1"/>
    <row r="61" spans="1:19" ht="14.25" customHeight="1"/>
    <row r="62" spans="1:19" ht="14.25" customHeight="1"/>
    <row r="63" spans="1:19" ht="14.25" customHeight="1"/>
    <row r="64" spans="1:1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invMtwara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Iswalala, Pagu</dc:creator>
  <cp:lastModifiedBy>Gorio</cp:lastModifiedBy>
  <dcterms:created xsi:type="dcterms:W3CDTF">2026-03-21T06:01:08Z</dcterms:created>
  <dcterms:modified xsi:type="dcterms:W3CDTF">2026-05-04T12:57:02Z</dcterms:modified>
</cp:coreProperties>
</file>